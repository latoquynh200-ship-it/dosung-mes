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AR-011" sheetId="1" state="visible" r:id="rId1"/>
    <sheet name="PJ420" sheetId="2" state="visible" r:id="rId2"/>
    <sheet name="mda0018" sheetId="3" state="visible" r:id="rId3"/>
    <sheet name="mda0019" sheetId="4" state="visible" r:id="rId4"/>
    <sheet name="mta0002" sheetId="5" state="visible" r:id="rId5"/>
    <sheet name="mta0003" sheetId="6" state="visible" r:id="rId6"/>
    <sheet name="Tổng nhập" sheetId="7" state="visible" r:id="rId7"/>
    <sheet name="Woodone" sheetId="8" state="visible" r:id="rId8"/>
    <sheet name="mda0016" sheetId="9" state="visible" r:id="rId9"/>
  </sheets>
  <definedNames>
    <definedName name="_xlnm.Print_Area" localSheetId="0">'PAR-011'!$A$1:$AO$96</definedName>
    <definedName name="_xlnm.Print_Area" localSheetId="1">'PJ420'!$A$1:$AO$41</definedName>
    <definedName name="_xlnm.Print_Area" localSheetId="2">'mda0018'!$A$1:$AO$56</definedName>
    <definedName name="_xlnm.Print_Area" localSheetId="3">'mda0019'!$A$1:$AO$58</definedName>
    <definedName name="_xlnm.Print_Area" localSheetId="4">'mta0002'!$A$1:$AO$60</definedName>
    <definedName name="_xlnm.Print_Area" localSheetId="5">'mta0003'!$A$1:$AO$64</definedName>
    <definedName name="_xlnm.Print_Area" localSheetId="7">'Woodone'!$A$1:$AO$50</definedName>
    <definedName name="_xlnm.Print_Area" localSheetId="8">'mda0016'!$A$1:$AO$14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d"/>
    <numFmt numFmtId="166" formatCode="aaa"/>
    <numFmt numFmtId="167" formatCode="_ * #,##0_ ;_ * \-#,##0_ ;_ * &quot;-&quot;??_ ;_ @_ "/>
    <numFmt numFmtId="168" formatCode="0.000"/>
    <numFmt numFmtId="169" formatCode="0.00000"/>
    <numFmt numFmtId="170" formatCode="#,##0_ ;[Red]\-#,##0\ "/>
  </numFmts>
  <fonts count="34">
    <font>
      <name val="Calibri"/>
      <charset val="128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Meiryo UI"/>
      <family val="2"/>
      <color theme="1"/>
      <sz val="11"/>
    </font>
    <font>
      <name val="ＭＳ 明朝"/>
      <charset val="128"/>
      <b val="1"/>
      <color theme="1"/>
      <sz val="11"/>
    </font>
    <font>
      <name val="Meiryo UI"/>
      <family val="2"/>
      <b val="1"/>
      <color theme="1"/>
      <sz val="20"/>
    </font>
    <font>
      <name val="Meiryo UI"/>
      <family val="2"/>
      <b val="1"/>
      <color theme="1"/>
      <sz val="11"/>
    </font>
    <font>
      <name val="Meiryo UI"/>
      <family val="2"/>
      <color theme="1"/>
      <sz val="14"/>
    </font>
    <font>
      <name val="Meiryo UI"/>
      <family val="2"/>
      <color theme="1"/>
      <sz val="11"/>
    </font>
    <font>
      <name val="Meiryo UI"/>
      <family val="2"/>
      <color theme="1"/>
      <sz val="14"/>
    </font>
    <font>
      <name val="Calibri"/>
      <family val="2"/>
      <color theme="1"/>
      <sz val="11"/>
      <scheme val="minor"/>
    </font>
    <font>
      <name val="Meiryo UI"/>
      <family val="2"/>
      <color theme="1"/>
      <sz val="16"/>
    </font>
    <font>
      <name val="Meiryo UI"/>
      <family val="2"/>
      <b val="1"/>
      <color theme="1"/>
      <sz val="16"/>
    </font>
    <font>
      <name val="Meiryo UI"/>
      <family val="2"/>
      <b val="1"/>
      <color theme="1"/>
      <sz val="14"/>
    </font>
    <font>
      <name val="Meiryo UI"/>
      <family val="2"/>
      <b val="1"/>
      <color theme="1"/>
      <sz val="36"/>
    </font>
    <font>
      <name val="Calibri"/>
      <family val="2"/>
      <color theme="1"/>
      <sz val="14"/>
      <scheme val="minor"/>
    </font>
    <font>
      <name val="Tahoma"/>
      <family val="2"/>
      <b val="1"/>
      <color indexed="81"/>
      <sz val="12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Meiryo UI"/>
      <family val="2"/>
      <b val="1"/>
      <color theme="4" tint="-0.249977111117893"/>
      <sz val="16"/>
    </font>
    <font>
      <name val="Meiryo UI"/>
      <family val="2"/>
      <color theme="4" tint="-0.249977111117893"/>
      <sz val="16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Tahoma"/>
      <family val="2"/>
      <color indexed="81"/>
      <sz val="14"/>
    </font>
    <font>
      <name val="Meiryo UI"/>
      <family val="2"/>
      <color rgb="FFFF0000"/>
      <sz val="16"/>
    </font>
    <font>
      <name val="Tahoma"/>
      <family val="2"/>
      <b val="1"/>
      <color indexed="81"/>
      <sz val="9"/>
    </font>
    <font>
      <name val="Tahoma"/>
      <family val="2"/>
      <color indexed="81"/>
      <sz val="12"/>
    </font>
    <font>
      <name val="Meiryo UI"/>
      <family val="2"/>
      <sz val="16"/>
    </font>
    <font>
      <name val="Meiryo UI"/>
      <family val="2"/>
      <color theme="4"/>
      <sz val="16"/>
    </font>
    <font>
      <name val="Meiryo UI"/>
      <charset val="128"/>
      <family val="2"/>
      <b val="1"/>
      <color rgb="FFFF0000"/>
      <sz val="14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43" fontId="12" fillId="0" borderId="0"/>
    <xf numFmtId="0" fontId="12" fillId="0" borderId="0"/>
    <xf numFmtId="167" fontId="12" fillId="0" borderId="0" applyAlignment="1">
      <alignment vertical="center"/>
    </xf>
  </cellStyleXfs>
  <cellXfs count="191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14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64" fontId="13" fillId="2" borderId="3" applyAlignment="1" pivotButton="0" quotePrefix="0" xfId="1">
      <alignment horizontal="center" vertical="center" shrinkToFit="1"/>
    </xf>
    <xf numFmtId="0" fontId="16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164" fontId="13" fillId="0" borderId="3" applyAlignment="1" pivotButton="0" quotePrefix="0" xfId="1">
      <alignment horizontal="center" vertical="center" shrinkToFit="1"/>
    </xf>
    <xf numFmtId="164" fontId="14" fillId="3" borderId="4" applyAlignment="1" pivotButton="0" quotePrefix="0" xfId="1">
      <alignment horizontal="center" vertical="center" shrinkToFit="1"/>
    </xf>
    <xf numFmtId="164" fontId="14" fillId="5" borderId="4" applyAlignment="1" pivotButton="0" quotePrefix="0" xfId="1">
      <alignment horizontal="center" vertical="center" shrinkToFit="1"/>
    </xf>
    <xf numFmtId="164" fontId="13" fillId="0" borderId="5" applyAlignment="1" pivotButton="0" quotePrefix="0" xfId="1">
      <alignment horizontal="center" vertical="center" shrinkToFit="1"/>
    </xf>
    <xf numFmtId="164" fontId="13" fillId="0" borderId="5" applyAlignment="1" pivotButton="0" quotePrefix="0" xfId="1">
      <alignment vertical="center" shrinkToFit="1"/>
    </xf>
    <xf numFmtId="164" fontId="13" fillId="2" borderId="5" applyAlignment="1" pivotButton="0" quotePrefix="0" xfId="1">
      <alignment vertical="center" shrinkToFit="1"/>
    </xf>
    <xf numFmtId="164" fontId="13" fillId="2" borderId="5" applyAlignment="1" pivotButton="0" quotePrefix="0" xfId="1">
      <alignment horizontal="center" vertical="center" shrinkToFit="1"/>
    </xf>
    <xf numFmtId="164" fontId="14" fillId="6" borderId="6" applyAlignment="1" pivotButton="0" quotePrefix="0" xfId="1">
      <alignment horizontal="center" vertical="center" shrinkToFit="1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164" fontId="14" fillId="0" borderId="4" applyAlignment="1" pivotButton="0" quotePrefix="0" xfId="1">
      <alignment horizontal="center" vertical="center" shrinkToFit="1"/>
    </xf>
    <xf numFmtId="164" fontId="19" fillId="0" borderId="3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 wrapText="1"/>
    </xf>
    <xf numFmtId="164" fontId="19" fillId="0" borderId="3" applyAlignment="1" pivotButton="0" quotePrefix="0" xfId="0">
      <alignment vertical="center"/>
    </xf>
    <xf numFmtId="0" fontId="19" fillId="0" borderId="3" applyAlignment="1" pivotButton="0" quotePrefix="0" xfId="0">
      <alignment vertical="center"/>
    </xf>
    <xf numFmtId="164" fontId="19" fillId="4" borderId="3" applyAlignment="1" pivotButton="0" quotePrefix="0" xfId="0">
      <alignment vertical="center"/>
    </xf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165" fontId="9" fillId="10" borderId="1" applyAlignment="1" pivotButton="0" quotePrefix="0" xfId="0">
      <alignment horizontal="center" vertical="center" shrinkToFit="1"/>
    </xf>
    <xf numFmtId="166" fontId="9" fillId="10" borderId="3" applyAlignment="1" pivotButton="0" quotePrefix="0" xfId="0">
      <alignment horizontal="center" vertical="center" shrinkToFit="1"/>
    </xf>
    <xf numFmtId="164" fontId="21" fillId="4" borderId="4" applyAlignment="1" pivotButton="0" quotePrefix="0" xfId="1">
      <alignment horizontal="center" vertical="center" shrinkToFit="1"/>
    </xf>
    <xf numFmtId="164" fontId="22" fillId="0" borderId="3" applyAlignment="1" pivotButton="0" quotePrefix="0" xfId="1">
      <alignment horizontal="center" vertical="center" shrinkToFit="1"/>
    </xf>
    <xf numFmtId="164" fontId="22" fillId="0" borderId="3" applyAlignment="1" pivotButton="0" quotePrefix="0" xfId="1">
      <alignment vertical="center" shrinkToFit="1"/>
    </xf>
    <xf numFmtId="164" fontId="22" fillId="2" borderId="3" applyAlignment="1" pivotButton="0" quotePrefix="0" xfId="1">
      <alignment vertical="center" shrinkToFit="1"/>
    </xf>
    <xf numFmtId="164" fontId="22" fillId="2" borderId="3" applyAlignment="1" pivotButton="0" quotePrefix="0" xfId="1">
      <alignment horizontal="center" vertical="center" shrinkToFit="1"/>
    </xf>
    <xf numFmtId="0" fontId="4" fillId="0" borderId="0" applyAlignment="1" pivotButton="0" quotePrefix="0" xfId="2">
      <alignment horizontal="center"/>
    </xf>
    <xf numFmtId="0" fontId="4" fillId="0" borderId="0" pivotButton="0" quotePrefix="0" xfId="2"/>
    <xf numFmtId="0" fontId="4" fillId="0" borderId="3" pivotButton="0" quotePrefix="0" xfId="2"/>
    <xf numFmtId="0" fontId="20" fillId="0" borderId="3" applyAlignment="1" pivotButton="0" quotePrefix="0" xfId="2">
      <alignment horizontal="center" vertical="center" wrapText="1"/>
    </xf>
    <xf numFmtId="167" fontId="0" fillId="0" borderId="3" pivotButton="0" quotePrefix="0" xfId="3"/>
    <xf numFmtId="167" fontId="4" fillId="0" borderId="0" pivotButton="0" quotePrefix="0" xfId="2"/>
    <xf numFmtId="0" fontId="4" fillId="0" borderId="3" applyAlignment="1" pivotButton="0" quotePrefix="0" xfId="2">
      <alignment horizontal="center"/>
    </xf>
    <xf numFmtId="0" fontId="4" fillId="0" borderId="3" applyAlignment="1" pivotButton="0" quotePrefix="1" xfId="2">
      <alignment horizontal="center"/>
    </xf>
    <xf numFmtId="0" fontId="4" fillId="4" borderId="3" pivotButton="0" quotePrefix="0" xfId="2"/>
    <xf numFmtId="167" fontId="0" fillId="4" borderId="3" pivotButton="0" quotePrefix="0" xfId="3"/>
    <xf numFmtId="0" fontId="20" fillId="0" borderId="3" applyAlignment="1" pivotButton="0" quotePrefix="0" xfId="2">
      <alignment horizontal="center" vertical="center"/>
    </xf>
    <xf numFmtId="164" fontId="4" fillId="0" borderId="3" applyAlignment="1" pivotButton="0" quotePrefix="0" xfId="2">
      <alignment vertical="center"/>
    </xf>
    <xf numFmtId="164" fontId="4" fillId="4" borderId="3" applyAlignment="1" pivotButton="0" quotePrefix="0" xfId="2">
      <alignment vertical="center"/>
    </xf>
    <xf numFmtId="0" fontId="25" fillId="0" borderId="3" applyAlignment="1" pivotButton="0" quotePrefix="0" xfId="2">
      <alignment horizontal="center" vertical="center"/>
    </xf>
    <xf numFmtId="0" fontId="26" fillId="0" borderId="0" applyAlignment="1" pivotButton="0" quotePrefix="0" xfId="2">
      <alignment horizontal="center" vertical="center"/>
    </xf>
    <xf numFmtId="0" fontId="26" fillId="4" borderId="3" applyAlignment="1" pivotButton="0" quotePrefix="0" xfId="2">
      <alignment horizontal="left" vertical="center"/>
    </xf>
    <xf numFmtId="167" fontId="26" fillId="4" borderId="3" applyAlignment="1" pivotButton="0" quotePrefix="0" xfId="2">
      <alignment horizontal="center" vertical="center"/>
    </xf>
    <xf numFmtId="0" fontId="20" fillId="0" borderId="3" applyAlignment="1" pivotButton="0" quotePrefix="0" xfId="2">
      <alignment horizontal="center" vertical="top" wrapText="1"/>
    </xf>
    <xf numFmtId="0" fontId="3" fillId="0" borderId="3" applyAlignment="1" pivotButton="0" quotePrefix="0" xfId="2">
      <alignment horizontal="center" vertical="center" wrapText="1"/>
    </xf>
    <xf numFmtId="0" fontId="4" fillId="0" borderId="0" applyAlignment="1" pivotButton="0" quotePrefix="0" xfId="2">
      <alignment horizontal="center" vertical="center"/>
    </xf>
    <xf numFmtId="164" fontId="19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0" borderId="3" pivotButton="0" quotePrefix="0" xfId="2"/>
    <xf numFmtId="164" fontId="28" fillId="2" borderId="3" applyAlignment="1" pivotButton="0" quotePrefix="0" xfId="1">
      <alignment horizontal="center" vertical="center" shrinkToFit="1"/>
    </xf>
    <xf numFmtId="164" fontId="17" fillId="0" borderId="0" applyAlignment="1" pivotButton="0" quotePrefix="0" xfId="0">
      <alignment vertical="center"/>
    </xf>
    <xf numFmtId="164" fontId="31" fillId="0" borderId="3" applyAlignment="1" pivotButton="0" quotePrefix="0" xfId="1">
      <alignment horizontal="center" vertical="center" shrinkToFit="1"/>
    </xf>
    <xf numFmtId="164" fontId="31" fillId="2" borderId="3" applyAlignment="1" pivotButton="0" quotePrefix="0" xfId="1">
      <alignment horizontal="center" vertical="center" shrinkToFit="1"/>
    </xf>
    <xf numFmtId="0" fontId="2" fillId="0" borderId="3" applyAlignment="1" pivotButton="0" quotePrefix="1" xfId="2">
      <alignment horizontal="center"/>
    </xf>
    <xf numFmtId="0" fontId="19" fillId="0" borderId="14" applyAlignment="1" pivotButton="0" quotePrefix="0" xfId="0">
      <alignment vertical="center"/>
    </xf>
    <xf numFmtId="164" fontId="32" fillId="0" borderId="3" applyAlignment="1" pivotButton="0" quotePrefix="0" xfId="1">
      <alignment horizontal="center" vertical="center" shrinkToFit="1"/>
    </xf>
    <xf numFmtId="0" fontId="1" fillId="0" borderId="3" applyAlignment="1" pivotButton="0" quotePrefix="1" xfId="2">
      <alignment horizontal="center"/>
    </xf>
    <xf numFmtId="168" fontId="4" fillId="0" borderId="3" applyAlignment="1" pivotButton="0" quotePrefix="0" xfId="2">
      <alignment horizontal="center"/>
    </xf>
    <xf numFmtId="0" fontId="20" fillId="4" borderId="3" applyAlignment="1" pivotButton="0" quotePrefix="0" xfId="2">
      <alignment horizontal="center"/>
    </xf>
    <xf numFmtId="169" fontId="1" fillId="0" borderId="3" applyAlignment="1" pivotButton="0" quotePrefix="0" xfId="2">
      <alignment horizontal="center"/>
    </xf>
    <xf numFmtId="0" fontId="33" fillId="0" borderId="0" applyAlignment="1" pivotButton="0" quotePrefix="0" xfId="0">
      <alignment vertical="center"/>
    </xf>
    <xf numFmtId="164" fontId="13" fillId="0" borderId="0" applyAlignment="1" pivotButton="0" quotePrefix="0" xfId="1">
      <alignment horizontal="center" vertical="center" shrinkToFit="1"/>
    </xf>
    <xf numFmtId="164" fontId="13" fillId="0" borderId="0" applyAlignment="1" pivotButton="0" quotePrefix="0" xfId="1">
      <alignment vertical="center" shrinkToFit="1"/>
    </xf>
    <xf numFmtId="164" fontId="13" fillId="2" borderId="0" applyAlignment="1" pivotButton="0" quotePrefix="0" xfId="1">
      <alignment vertical="center" shrinkToFit="1"/>
    </xf>
    <xf numFmtId="164" fontId="13" fillId="2" borderId="0" applyAlignment="1" pivotButton="0" quotePrefix="0" xfId="1">
      <alignment horizontal="center" vertical="center" shrinkToFit="1"/>
    </xf>
    <xf numFmtId="164" fontId="14" fillId="6" borderId="0" applyAlignment="1" pivotButton="0" quotePrefix="0" xfId="1">
      <alignment horizontal="center" vertical="center" shrinkToFit="1"/>
    </xf>
    <xf numFmtId="0" fontId="19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49" fontId="9" fillId="2" borderId="0" applyAlignment="1" pivotButton="0" quotePrefix="0" xfId="0">
      <alignment horizontal="center" vertical="center" wrapText="1" shrinkToFit="1"/>
    </xf>
    <xf numFmtId="49" fontId="9" fillId="2" borderId="0" applyAlignment="1" pivotButton="0" quotePrefix="0" xfId="0">
      <alignment horizontal="center" vertical="center" shrinkToFit="1"/>
    </xf>
    <xf numFmtId="0" fontId="4" fillId="7" borderId="3" pivotButton="0" quotePrefix="0" xfId="2"/>
    <xf numFmtId="0" fontId="2" fillId="7" borderId="3" pivotButton="0" quotePrefix="0" xfId="2"/>
    <xf numFmtId="0" fontId="2" fillId="11" borderId="3" pivotButton="0" quotePrefix="0" xfId="2"/>
    <xf numFmtId="167" fontId="0" fillId="11" borderId="3" pivotButton="0" quotePrefix="0" xfId="3"/>
    <xf numFmtId="0" fontId="15" fillId="7" borderId="0" applyAlignment="1" pivotButton="0" quotePrefix="0" xfId="0">
      <alignment horizontal="center"/>
    </xf>
    <xf numFmtId="0" fontId="15" fillId="8" borderId="12" applyAlignment="1" pivotButton="0" quotePrefix="0" xfId="0">
      <alignment horizontal="center" vertical="center" wrapText="1"/>
    </xf>
    <xf numFmtId="0" fontId="15" fillId="8" borderId="13" applyAlignment="1" pivotButton="0" quotePrefix="0" xfId="0">
      <alignment horizontal="center" vertical="center" wrapText="1"/>
    </xf>
    <xf numFmtId="0" fontId="15" fillId="8" borderId="11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8" applyAlignment="1" pivotButton="0" quotePrefix="0" xfId="0">
      <alignment horizontal="center" vertical="center"/>
    </xf>
    <xf numFmtId="0" fontId="9" fillId="8" borderId="3" applyAlignment="1" pivotButton="0" quotePrefix="0" xfId="0">
      <alignment horizontal="center" vertical="center"/>
    </xf>
    <xf numFmtId="165" fontId="15" fillId="10" borderId="2" applyAlignment="1" pivotButton="0" quotePrefix="0" xfId="0">
      <alignment horizontal="center" vertical="center" shrinkToFit="1"/>
    </xf>
    <xf numFmtId="165" fontId="15" fillId="10" borderId="4" applyAlignment="1" pivotButton="0" quotePrefix="0" xfId="0">
      <alignment horizontal="center" vertical="center" shrinkToFit="1"/>
    </xf>
    <xf numFmtId="0" fontId="9" fillId="8" borderId="10" applyAlignment="1" pivotButton="0" quotePrefix="0" xfId="0">
      <alignment horizontal="center" vertical="center"/>
    </xf>
    <xf numFmtId="49" fontId="9" fillId="8" borderId="8" applyAlignment="1" pivotButton="0" quotePrefix="0" xfId="0">
      <alignment horizontal="center" vertical="center" wrapText="1" shrinkToFit="1"/>
    </xf>
    <xf numFmtId="49" fontId="9" fillId="8" borderId="3" applyAlignment="1" pivotButton="0" quotePrefix="0" xfId="0">
      <alignment horizontal="center" vertical="center" shrinkToFit="1"/>
    </xf>
    <xf numFmtId="49" fontId="9" fillId="8" borderId="9" applyAlignment="1" pivotButton="0" quotePrefix="0" xfId="0">
      <alignment horizontal="center" vertical="center" wrapText="1" shrinkToFit="1"/>
    </xf>
    <xf numFmtId="49" fontId="9" fillId="8" borderId="5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9" fillId="9" borderId="3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 wrapText="1"/>
    </xf>
    <xf numFmtId="0" fontId="15" fillId="9" borderId="13" applyAlignment="1" pivotButton="0" quotePrefix="0" xfId="0">
      <alignment horizontal="center" vertical="center" wrapText="1"/>
    </xf>
    <xf numFmtId="0" fontId="15" fillId="9" borderId="11" applyAlignment="1" pivotButton="0" quotePrefix="0" xfId="0">
      <alignment horizontal="center" vertical="center" wrapText="1"/>
    </xf>
    <xf numFmtId="0" fontId="9" fillId="9" borderId="7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9" borderId="8" applyAlignment="1" pivotButton="0" quotePrefix="0" xfId="0">
      <alignment horizontal="center" vertical="center"/>
    </xf>
    <xf numFmtId="49" fontId="9" fillId="9" borderId="9" applyAlignment="1" pivotButton="0" quotePrefix="0" xfId="0">
      <alignment horizontal="center" vertical="center" wrapText="1" shrinkToFit="1"/>
    </xf>
    <xf numFmtId="49" fontId="9" fillId="9" borderId="5" applyAlignment="1" pivotButton="0" quotePrefix="0" xfId="0">
      <alignment horizontal="center" vertical="center" shrinkToFit="1"/>
    </xf>
    <xf numFmtId="49" fontId="9" fillId="9" borderId="8" applyAlignment="1" pivotButton="0" quotePrefix="0" xfId="0">
      <alignment horizontal="center" vertical="center" wrapText="1" shrinkToFit="1"/>
    </xf>
    <xf numFmtId="49" fontId="9" fillId="9" borderId="3" applyAlignment="1" pivotButton="0" quotePrefix="0" xfId="0">
      <alignment horizontal="center" vertical="center" shrinkToFit="1"/>
    </xf>
    <xf numFmtId="0" fontId="9" fillId="9" borderId="10" applyAlignment="1" pivotButton="0" quotePrefix="0" xfId="0">
      <alignment horizontal="center" vertical="center"/>
    </xf>
    <xf numFmtId="0" fontId="20" fillId="0" borderId="14" applyAlignment="1" pivotButton="0" quotePrefix="0" xfId="2">
      <alignment horizontal="center"/>
    </xf>
    <xf numFmtId="0" fontId="20" fillId="0" borderId="10" applyAlignment="1" pivotButton="0" quotePrefix="0" xfId="2">
      <alignment horizontal="center"/>
    </xf>
    <xf numFmtId="0" fontId="20" fillId="0" borderId="8" applyAlignment="1" pivotButton="0" quotePrefix="0" xfId="2">
      <alignment horizontal="center"/>
    </xf>
    <xf numFmtId="0" fontId="23" fillId="0" borderId="15" applyAlignment="1" pivotButton="0" quotePrefix="0" xfId="2">
      <alignment horizontal="center" vertical="center"/>
    </xf>
    <xf numFmtId="0" fontId="23" fillId="0" borderId="16" applyAlignment="1" pivotButton="0" quotePrefix="0" xfId="2">
      <alignment horizontal="center" vertical="center"/>
    </xf>
    <xf numFmtId="0" fontId="24" fillId="0" borderId="3" applyAlignment="1" pivotButton="0" quotePrefix="0" xfId="2">
      <alignment horizontal="center"/>
    </xf>
    <xf numFmtId="170" fontId="25" fillId="0" borderId="14" applyAlignment="1" pivotButton="0" quotePrefix="0" xfId="2">
      <alignment horizontal="center" vertical="center"/>
    </xf>
    <xf numFmtId="170" fontId="25" fillId="0" borderId="10" applyAlignment="1" pivotButton="0" quotePrefix="0" xfId="2">
      <alignment horizontal="center" vertical="center"/>
    </xf>
    <xf numFmtId="170" fontId="25" fillId="0" borderId="8" applyAlignment="1" pivotButton="0" quotePrefix="0" xfId="2">
      <alignment horizontal="center" vertical="center"/>
    </xf>
    <xf numFmtId="0" fontId="4" fillId="0" borderId="14" applyAlignment="1" pivotButton="0" quotePrefix="0" xfId="2">
      <alignment horizontal="center" wrapText="1"/>
    </xf>
    <xf numFmtId="0" fontId="4" fillId="0" borderId="8" applyAlignment="1" pivotButton="0" quotePrefix="0" xfId="2">
      <alignment horizontal="center"/>
    </xf>
    <xf numFmtId="0" fontId="24" fillId="0" borderId="3" applyAlignment="1" pivotButton="0" quotePrefix="0" xfId="2">
      <alignment horizontal="center" wrapText="1"/>
    </xf>
    <xf numFmtId="0" fontId="1" fillId="0" borderId="14" applyAlignment="1" pivotButton="0" quotePrefix="0" xfId="2">
      <alignment horizontal="center"/>
    </xf>
    <xf numFmtId="0" fontId="0" fillId="0" borderId="0" pivotButton="0" quotePrefix="0" xfId="0"/>
    <xf numFmtId="0" fontId="15" fillId="8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4" pivotButton="0" quotePrefix="0" xfId="0"/>
    <xf numFmtId="0" fontId="0" fillId="0" borderId="7" pivotButton="0" quotePrefix="0" xfId="0"/>
    <xf numFmtId="165" fontId="9" fillId="10" borderId="1" applyAlignment="1" pivotButton="0" quotePrefix="0" xfId="0">
      <alignment horizontal="center" vertical="center" shrinkToFit="1"/>
    </xf>
    <xf numFmtId="165" fontId="15" fillId="10" borderId="2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0" pivotButton="0" quotePrefix="0" xfId="0"/>
    <xf numFmtId="0" fontId="0" fillId="0" borderId="31" pivotButton="0" quotePrefix="0" xfId="0"/>
    <xf numFmtId="166" fontId="9" fillId="10" borderId="3" applyAlignment="1" pivotButton="0" quotePrefix="0" xfId="0">
      <alignment horizontal="center" vertical="center" shrinkToFit="1"/>
    </xf>
    <xf numFmtId="0" fontId="0" fillId="0" borderId="27" pivotButton="0" quotePrefix="0" xfId="0"/>
    <xf numFmtId="0" fontId="9" fillId="8" borderId="3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32" pivotButton="0" quotePrefix="0" xfId="0"/>
    <xf numFmtId="164" fontId="13" fillId="0" borderId="3" applyAlignment="1" pivotButton="0" quotePrefix="0" xfId="1">
      <alignment horizontal="center" vertical="center" shrinkToFit="1"/>
    </xf>
    <xf numFmtId="164" fontId="13" fillId="2" borderId="3" applyAlignment="1" pivotButton="0" quotePrefix="0" xfId="1">
      <alignment horizontal="center" vertical="center" shrinkToFit="1"/>
    </xf>
    <xf numFmtId="164" fontId="14" fillId="0" borderId="4" applyAlignment="1" pivotButton="0" quotePrefix="0" xfId="1">
      <alignment horizontal="center" vertical="center" shrinkToFit="1"/>
    </xf>
    <xf numFmtId="164" fontId="19" fillId="0" borderId="3" applyAlignment="1" pivotButton="0" quotePrefix="0" xfId="0">
      <alignment horizontal="left" vertical="center" wrapText="1"/>
    </xf>
    <xf numFmtId="164" fontId="19" fillId="0" borderId="3" applyAlignment="1" pivotButton="0" quotePrefix="0" xfId="0">
      <alignment vertical="center"/>
    </xf>
    <xf numFmtId="0" fontId="0" fillId="0" borderId="35" pivotButton="0" quotePrefix="0" xfId="0"/>
    <xf numFmtId="0" fontId="0" fillId="0" borderId="8" pivotButton="0" quotePrefix="0" xfId="0"/>
    <xf numFmtId="164" fontId="14" fillId="3" borderId="4" applyAlignment="1" pivotButton="0" quotePrefix="0" xfId="1">
      <alignment horizontal="center" vertical="center" shrinkToFit="1"/>
    </xf>
    <xf numFmtId="164" fontId="19" fillId="4" borderId="3" applyAlignment="1" pivotButton="0" quotePrefix="0" xfId="0">
      <alignment vertical="center"/>
    </xf>
    <xf numFmtId="164" fontId="22" fillId="0" borderId="3" applyAlignment="1" pivotButton="0" quotePrefix="0" xfId="1">
      <alignment horizontal="center" vertical="center" shrinkToFit="1"/>
    </xf>
    <xf numFmtId="164" fontId="22" fillId="0" borderId="3" applyAlignment="1" pivotButton="0" quotePrefix="0" xfId="1">
      <alignment vertical="center" shrinkToFit="1"/>
    </xf>
    <xf numFmtId="164" fontId="22" fillId="2" borderId="3" applyAlignment="1" pivotButton="0" quotePrefix="0" xfId="1">
      <alignment vertical="center" shrinkToFit="1"/>
    </xf>
    <xf numFmtId="164" fontId="22" fillId="2" borderId="3" applyAlignment="1" pivotButton="0" quotePrefix="0" xfId="1">
      <alignment horizontal="center" vertical="center" shrinkToFit="1"/>
    </xf>
    <xf numFmtId="164" fontId="21" fillId="4" borderId="4" applyAlignment="1" pivotButton="0" quotePrefix="0" xfId="1">
      <alignment horizontal="center" vertical="center" shrinkToFit="1"/>
    </xf>
    <xf numFmtId="164" fontId="14" fillId="5" borderId="4" applyAlignment="1" pivotButton="0" quotePrefix="0" xfId="1">
      <alignment horizontal="center" vertical="center" shrinkToFit="1"/>
    </xf>
    <xf numFmtId="0" fontId="0" fillId="0" borderId="11" pivotButton="0" quotePrefix="0" xfId="0"/>
    <xf numFmtId="0" fontId="0" fillId="0" borderId="36" pivotButton="0" quotePrefix="0" xfId="0"/>
    <xf numFmtId="0" fontId="0" fillId="0" borderId="9" pivotButton="0" quotePrefix="0" xfId="0"/>
    <xf numFmtId="164" fontId="13" fillId="0" borderId="5" applyAlignment="1" pivotButton="0" quotePrefix="0" xfId="1">
      <alignment horizontal="center" vertical="center" shrinkToFit="1"/>
    </xf>
    <xf numFmtId="164" fontId="13" fillId="0" borderId="5" applyAlignment="1" pivotButton="0" quotePrefix="0" xfId="1">
      <alignment vertical="center" shrinkToFit="1"/>
    </xf>
    <xf numFmtId="164" fontId="13" fillId="2" borderId="5" applyAlignment="1" pivotButton="0" quotePrefix="0" xfId="1">
      <alignment vertical="center" shrinkToFit="1"/>
    </xf>
    <xf numFmtId="164" fontId="13" fillId="2" borderId="5" applyAlignment="1" pivotButton="0" quotePrefix="0" xfId="1">
      <alignment horizontal="center" vertical="center" shrinkToFit="1"/>
    </xf>
    <xf numFmtId="164" fontId="14" fillId="6" borderId="6" applyAlignment="1" pivotButton="0" quotePrefix="0" xfId="1">
      <alignment horizontal="center" vertical="center" shrinkToFit="1"/>
    </xf>
    <xf numFmtId="164" fontId="0" fillId="0" borderId="0" applyAlignment="1" pivotButton="0" quotePrefix="0" xfId="0">
      <alignment vertical="center"/>
    </xf>
    <xf numFmtId="164" fontId="19" fillId="0" borderId="0" applyAlignment="1" pivotButton="0" quotePrefix="0" xfId="0">
      <alignment vertical="center"/>
    </xf>
    <xf numFmtId="164" fontId="17" fillId="0" borderId="0" applyAlignment="1" pivotButton="0" quotePrefix="0" xfId="0">
      <alignment vertical="center"/>
    </xf>
    <xf numFmtId="164" fontId="31" fillId="0" borderId="3" applyAlignment="1" pivotButton="0" quotePrefix="0" xfId="1">
      <alignment horizontal="center" vertical="center" shrinkToFit="1"/>
    </xf>
    <xf numFmtId="164" fontId="31" fillId="2" borderId="3" applyAlignment="1" pivotButton="0" quotePrefix="0" xfId="1">
      <alignment horizontal="center" vertical="center" shrinkToFit="1"/>
    </xf>
    <xf numFmtId="164" fontId="32" fillId="0" borderId="3" applyAlignment="1" pivotButton="0" quotePrefix="0" xfId="1">
      <alignment horizontal="center" vertical="center" shrinkToFit="1"/>
    </xf>
    <xf numFmtId="0" fontId="15" fillId="9" borderId="17" applyAlignment="1" pivotButton="0" quotePrefix="0" xfId="0">
      <alignment horizontal="center" vertical="center" wrapText="1"/>
    </xf>
    <xf numFmtId="0" fontId="9" fillId="9" borderId="32" applyAlignment="1" pivotButton="0" quotePrefix="0" xfId="0">
      <alignment horizontal="center" vertical="center"/>
    </xf>
    <xf numFmtId="164" fontId="28" fillId="2" borderId="3" applyAlignment="1" pivotButton="0" quotePrefix="0" xfId="1">
      <alignment horizontal="center" vertical="center" shrinkToFit="1"/>
    </xf>
    <xf numFmtId="0" fontId="1" fillId="0" borderId="37" applyAlignment="1" pivotButton="0" quotePrefix="0" xfId="2">
      <alignment horizontal="center"/>
    </xf>
    <xf numFmtId="0" fontId="4" fillId="0" borderId="37" applyAlignment="1" pivotButton="0" quotePrefix="0" xfId="2">
      <alignment horizontal="center" wrapText="1"/>
    </xf>
    <xf numFmtId="0" fontId="23" fillId="0" borderId="3" applyAlignment="1" pivotButton="0" quotePrefix="0" xfId="2">
      <alignment horizontal="center" vertical="center"/>
    </xf>
    <xf numFmtId="0" fontId="0" fillId="0" borderId="16" pivotButton="0" quotePrefix="0" xfId="0"/>
    <xf numFmtId="164" fontId="4" fillId="0" borderId="3" applyAlignment="1" pivotButton="0" quotePrefix="0" xfId="2">
      <alignment vertical="center"/>
    </xf>
    <xf numFmtId="164" fontId="4" fillId="4" borderId="3" applyAlignment="1" pivotButton="0" quotePrefix="0" xfId="2">
      <alignment vertical="center"/>
    </xf>
    <xf numFmtId="170" fontId="25" fillId="0" borderId="37" applyAlignment="1" pivotButton="0" quotePrefix="0" xfId="2">
      <alignment horizontal="center" vertical="center"/>
    </xf>
    <xf numFmtId="0" fontId="20" fillId="0" borderId="37" applyAlignment="1" pivotButton="0" quotePrefix="0" xfId="2">
      <alignment horizontal="center"/>
    </xf>
    <xf numFmtId="168" fontId="4" fillId="0" borderId="3" applyAlignment="1" pivotButton="0" quotePrefix="0" xfId="2">
      <alignment horizontal="center"/>
    </xf>
    <xf numFmtId="169" fontId="1" fillId="0" borderId="3" applyAlignment="1" pivotButton="0" quotePrefix="0" xfId="2">
      <alignment horizontal="center"/>
    </xf>
    <xf numFmtId="164" fontId="13" fillId="0" borderId="0" applyAlignment="1" pivotButton="0" quotePrefix="0" xfId="1">
      <alignment horizontal="center" vertical="center" shrinkToFit="1"/>
    </xf>
    <xf numFmtId="164" fontId="13" fillId="0" borderId="0" applyAlignment="1" pivotButton="0" quotePrefix="0" xfId="1">
      <alignment vertical="center" shrinkToFit="1"/>
    </xf>
    <xf numFmtId="164" fontId="13" fillId="2" borderId="0" applyAlignment="1" pivotButton="0" quotePrefix="0" xfId="1">
      <alignment vertical="center" shrinkToFit="1"/>
    </xf>
    <xf numFmtId="164" fontId="13" fillId="2" borderId="0" applyAlignment="1" pivotButton="0" quotePrefix="0" xfId="1">
      <alignment horizontal="center" vertical="center" shrinkToFit="1"/>
    </xf>
    <xf numFmtId="164" fontId="14" fillId="6" borderId="0" applyAlignment="1" pivotButton="0" quotePrefix="0" xfId="1">
      <alignment horizontal="center" vertical="center" shrinkToFit="1"/>
    </xf>
  </cellXfs>
  <cellStyles count="4">
    <cellStyle name="Normal" xfId="0" builtinId="0"/>
    <cellStyle name="Comma" xfId="1" builtinId="3"/>
    <cellStyle name="Normal 2" xfId="2"/>
    <cellStyle name="Comma 2" xfId="3"/>
  </cellStyles>
  <dxfs count="148"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SHIBUTAN-010</author>
  </authors>
  <commentList>
    <comment ref="L8" authorId="0" shapeId="0">
      <text>
        <t>251121-03</t>
      </text>
    </comment>
    <comment ref="R8" authorId="0" shapeId="0">
      <text>
        <t>260102-08</t>
      </text>
    </comment>
    <comment ref="Y8" authorId="0" shapeId="0">
      <text>
        <t>260102-08</t>
      </text>
    </comment>
    <comment ref="AF8" authorId="0" shapeId="0">
      <text>
        <t>260102-08</t>
      </text>
    </comment>
    <comment ref="AI11" authorId="0" shapeId="0">
      <text>
        <t>Đã sơn</t>
      </text>
    </comment>
    <comment ref="H17" authorId="0" shapeId="0">
      <text>
        <t>260102-08</t>
      </text>
    </comment>
    <comment ref="L17" authorId="0" shapeId="0">
      <text>
        <t>251210-02</t>
      </text>
    </comment>
    <comment ref="O17" authorId="0" shapeId="0">
      <text>
        <t>260102-08</t>
      </text>
    </comment>
    <comment ref="I20" authorId="0" shapeId="0">
      <text>
        <t>Chưa sơn</t>
      </text>
    </comment>
    <comment ref="H26" authorId="0" shapeId="0">
      <text>
        <t>260223-01</t>
      </text>
    </comment>
    <comment ref="O26" authorId="0" shapeId="0">
      <text>
        <t>260223-01</t>
      </text>
    </comment>
    <comment ref="V26" authorId="0" shapeId="0">
      <text>
        <t>260223-01</t>
      </text>
    </comment>
    <comment ref="AC26" authorId="0" shapeId="0">
      <text>
        <t>260319-01-1</t>
      </text>
    </comment>
    <comment ref="AJ26" authorId="0" shapeId="0">
      <text>
        <t>260319-01-1</t>
      </text>
    </comment>
    <comment ref="L35" authorId="0" shapeId="0">
      <text>
        <t>260319-01-1</t>
      </text>
    </comment>
    <comment ref="S35" authorId="0" shapeId="0">
      <text>
        <t>260319-01-1</t>
      </text>
    </comment>
    <comment ref="Z35" authorId="0" shapeId="0">
      <text>
        <t>260319-01-1</t>
      </text>
    </comment>
    <comment ref="J44" authorId="0" shapeId="0">
      <text>
        <t>260328-01-1</t>
      </text>
    </comment>
    <comment ref="Q44" authorId="0" shapeId="0">
      <text>
        <t>260328-01-1</t>
      </text>
    </comment>
    <comment ref="X44" authorId="0" shapeId="0">
      <text>
        <t>260328-01-1</t>
      </text>
    </comment>
    <comment ref="AE44" authorId="0" shapeId="0">
      <text>
        <t>260328-01-1</t>
      </text>
    </comment>
    <comment ref="G53" authorId="0" shapeId="0">
      <text>
        <t>260328-01-1</t>
      </text>
    </comment>
    <comment ref="N53" authorId="0" shapeId="0">
      <text>
        <t>260328-01-1</t>
      </text>
    </comment>
    <comment ref="U53" authorId="0" shapeId="0">
      <text>
        <t>260328-01-1</t>
      </text>
    </comment>
    <comment ref="AB53" authorId="0" shapeId="0">
      <text>
        <t>260328-01-1</t>
      </text>
    </comment>
    <comment ref="AI53" authorId="0" shapeId="0">
      <text>
        <t>260328-01-1</t>
      </text>
    </comment>
    <comment ref="L62" authorId="0" shapeId="0">
      <text>
        <t>260416-01-1</t>
      </text>
    </comment>
    <comment ref="S62" authorId="0" shapeId="0">
      <text>
        <t>260416-01-1</t>
      </text>
    </comment>
    <comment ref="Z62" authorId="0" shapeId="0">
      <text>
        <t>260416-01-1</t>
      </text>
    </comment>
    <comment ref="AG62" authorId="0" shapeId="0">
      <text>
        <t>260416-01-1</t>
      </text>
    </comment>
    <comment ref="I71" authorId="0" shapeId="0">
      <text>
        <t>260416-01-1</t>
      </text>
    </comment>
    <comment ref="P71" authorId="0" shapeId="0">
      <text>
        <t>260416-01-1</t>
      </text>
    </comment>
    <comment ref="W71" authorId="0" shapeId="0">
      <text>
        <t>260416-01-1</t>
      </text>
    </comment>
    <comment ref="AD71" authorId="0" shapeId="0">
      <text>
        <t>260416-01-1</t>
      </text>
    </comment>
    <comment ref="M80" authorId="0" shapeId="0">
      <text>
        <t>260416-01-1</t>
      </text>
    </comment>
    <comment ref="T80" authorId="0" shapeId="0">
      <text>
        <t>260416-01-1</t>
      </text>
    </comment>
    <comment ref="AA80" authorId="0" shapeId="0">
      <text>
        <t>260416-01-1</t>
      </text>
    </comment>
    <comment ref="AH80" authorId="0" shapeId="0">
      <text>
        <t>260416-01-1</t>
      </text>
    </comment>
    <comment ref="K89" authorId="0" shapeId="0">
      <text>
        <t>260416-01-1</t>
      </text>
    </comment>
  </commentList>
</comments>
</file>

<file path=xl/comments/comment2.xml><?xml version="1.0" encoding="utf-8"?>
<comments xmlns="http://schemas.openxmlformats.org/spreadsheetml/2006/main">
  <authors>
    <author>SHIBUTAN-010</author>
  </authors>
  <commentList>
    <comment ref="AJ8" authorId="0" shapeId="0">
      <text>
        <t>260130-03</t>
      </text>
    </comment>
  </commentList>
</comments>
</file>

<file path=xl/comments/comment3.xml><?xml version="1.0" encoding="utf-8"?>
<comments xmlns="http://schemas.openxmlformats.org/spreadsheetml/2006/main">
  <authors>
    <author>SHIBUTAN-010</author>
  </authors>
  <commentList>
    <comment ref="K17" authorId="0" shapeId="0">
      <text>
        <t>260226-01</t>
      </text>
    </comment>
  </commentList>
</comments>
</file>

<file path=xl/comments/comment4.xml><?xml version="1.0" encoding="utf-8"?>
<comments xmlns="http://schemas.openxmlformats.org/spreadsheetml/2006/main">
  <authors>
    <author>SHIBUTAN-010</author>
  </authors>
  <commentList>
    <comment ref="K17" authorId="0" shapeId="0">
      <text>
        <t>260226-01</t>
      </text>
    </comment>
  </commentList>
</comments>
</file>

<file path=xl/comments/comment5.xml><?xml version="1.0" encoding="utf-8"?>
<comments xmlns="http://schemas.openxmlformats.org/spreadsheetml/2006/main">
  <authors>
    <author>SHIBUTAN-010</author>
  </authors>
  <commentList>
    <comment ref="V8" authorId="0" shapeId="0">
      <text>
        <t>260305-01</t>
      </text>
    </comment>
  </commentList>
</comments>
</file>

<file path=xl/comments/comment6.xml><?xml version="1.0" encoding="utf-8"?>
<comments xmlns="http://schemas.openxmlformats.org/spreadsheetml/2006/main">
  <authors>
    <author>SHIBUTAN-010</author>
  </authors>
  <commentList>
    <comment ref="V8" authorId="0" shapeId="0">
      <text>
        <t>260305-01</t>
      </text>
    </comment>
  </commentList>
</comments>
</file>

<file path=xl/comments/comment7.xml><?xml version="1.0" encoding="utf-8"?>
<comments xmlns="http://schemas.openxmlformats.org/spreadsheetml/2006/main">
  <authors>
    <author>SHIBUTAN-010</author>
  </authors>
  <commentList>
    <comment ref="H8" authorId="0" shapeId="0">
      <text>
        <t>251107-02</t>
      </text>
    </comment>
    <comment ref="N8" authorId="0" shapeId="0">
      <text>
        <t>251107-02</t>
      </text>
    </comment>
    <comment ref="N10" authorId="0" shapeId="0">
      <text>
        <t>thực nhận</t>
      </text>
    </comment>
  </commentList>
</comments>
</file>

<file path=xl/comments/comment8.xml><?xml version="1.0" encoding="utf-8"?>
<comments xmlns="http://schemas.openxmlformats.org/spreadsheetml/2006/main">
  <authors>
    <author>SHIBUTAN-010</author>
  </authors>
  <commentList>
    <comment ref="AC8" authorId="0" shapeId="0">
      <text>
        <t>260309-01: 1000
260316-02: 500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56029</colOff>
      <row>1</row>
      <rowOff>76838</rowOff>
    </from>
    <to>
      <col>26</col>
      <colOff>310402</colOff>
      <row>21</row>
      <rowOff>121584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9614647" y="457838"/>
          <a:ext cx="4142814" cy="456071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661146</colOff>
      <row>49</row>
      <rowOff>22412</rowOff>
    </from>
    <to>
      <col>31</col>
      <colOff>214592</colOff>
      <row>56</row>
      <rowOff>53228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55911" y="10690412"/>
          <a:ext cx="15992475" cy="128587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5"/>
  <sheetViews>
    <sheetView showGridLines="0" tabSelected="1" view="pageBreakPreview" zoomScale="70" zoomScaleNormal="100" zoomScaleSheetLayoutView="70" workbookViewId="0">
      <pane xSplit="6" ySplit="3" topLeftCell="G76" activePane="bottomRight" state="frozen"/>
      <selection pane="topRight" activeCell="G1" sqref="G1"/>
      <selection pane="bottomLeft" activeCell="A4" sqref="A4"/>
      <selection pane="bottomRight" activeCell="T85" sqref="T85"/>
    </sheetView>
  </sheetViews>
  <sheetFormatPr baseColWidth="8" defaultColWidth="9" defaultRowHeight="21"/>
  <cols>
    <col width="14.140625" customWidth="1" style="1" min="1" max="1"/>
    <col width="3.7109375" customWidth="1" style="1" min="2" max="2"/>
    <col width="7.5703125" customWidth="1" style="1" min="3" max="3"/>
    <col width="2.5703125" customWidth="1" style="1" min="4" max="4"/>
    <col width="9" customWidth="1" style="1" min="5" max="5"/>
    <col width="21.28515625" customWidth="1" style="1" min="6" max="6"/>
    <col width="10" customWidth="1" style="1" min="7" max="37"/>
    <col width="16" bestFit="1" customWidth="1" style="1" min="38" max="38"/>
    <col width="6" customWidth="1" style="1" min="39" max="39"/>
    <col width="25.140625" customWidth="1" style="2" min="40" max="40"/>
    <col width="16.85546875" customWidth="1" style="20" min="41" max="41"/>
    <col width="13.42578125" bestFit="1" customWidth="1" style="127" min="42" max="42"/>
    <col width="10.85546875" bestFit="1" customWidth="1" style="127" min="44" max="44"/>
    <col width="3.7109375" customWidth="1" style="127" min="255" max="257"/>
    <col width="2.5703125" customWidth="1" style="127" min="258" max="261"/>
    <col width="3.7109375" customWidth="1" style="127" min="262" max="264"/>
    <col width="4.42578125" customWidth="1" style="127" min="265" max="295"/>
    <col width="9" customWidth="1" style="127" min="296" max="296"/>
    <col width="3.7109375" customWidth="1" style="127" min="511" max="513"/>
    <col width="2.5703125" customWidth="1" style="127" min="514" max="517"/>
    <col width="3.7109375" customWidth="1" style="127" min="518" max="520"/>
    <col width="4.42578125" customWidth="1" style="127" min="521" max="551"/>
    <col width="9" customWidth="1" style="127" min="552" max="552"/>
    <col width="3.7109375" customWidth="1" style="127" min="767" max="769"/>
    <col width="2.5703125" customWidth="1" style="127" min="770" max="773"/>
    <col width="3.7109375" customWidth="1" style="127" min="774" max="776"/>
    <col width="4.42578125" customWidth="1" style="127" min="777" max="807"/>
    <col width="9" customWidth="1" style="127" min="808" max="808"/>
    <col width="3.7109375" customWidth="1" style="127" min="1023" max="1025"/>
    <col width="2.5703125" customWidth="1" style="127" min="1026" max="1029"/>
    <col width="3.7109375" customWidth="1" style="127" min="1030" max="1032"/>
    <col width="4.42578125" customWidth="1" style="127" min="1033" max="1063"/>
    <col width="9" customWidth="1" style="127" min="1064" max="1064"/>
    <col width="3.7109375" customWidth="1" style="127" min="1279" max="1281"/>
    <col width="2.5703125" customWidth="1" style="127" min="1282" max="1285"/>
    <col width="3.7109375" customWidth="1" style="127" min="1286" max="1288"/>
    <col width="4.42578125" customWidth="1" style="127" min="1289" max="1319"/>
    <col width="9" customWidth="1" style="127" min="1320" max="1320"/>
    <col width="3.7109375" customWidth="1" style="127" min="1535" max="1537"/>
    <col width="2.5703125" customWidth="1" style="127" min="1538" max="1541"/>
    <col width="3.7109375" customWidth="1" style="127" min="1542" max="1544"/>
    <col width="4.42578125" customWidth="1" style="127" min="1545" max="1575"/>
    <col width="9" customWidth="1" style="127" min="1576" max="1576"/>
    <col width="3.7109375" customWidth="1" style="127" min="1791" max="1793"/>
    <col width="2.5703125" customWidth="1" style="127" min="1794" max="1797"/>
    <col width="3.7109375" customWidth="1" style="127" min="1798" max="1800"/>
    <col width="4.42578125" customWidth="1" style="127" min="1801" max="1831"/>
    <col width="9" customWidth="1" style="127" min="1832" max="1832"/>
    <col width="3.7109375" customWidth="1" style="127" min="2047" max="2049"/>
    <col width="2.5703125" customWidth="1" style="127" min="2050" max="2053"/>
    <col width="3.7109375" customWidth="1" style="127" min="2054" max="2056"/>
    <col width="4.42578125" customWidth="1" style="127" min="2057" max="2087"/>
    <col width="9" customWidth="1" style="127" min="2088" max="2088"/>
    <col width="3.7109375" customWidth="1" style="127" min="2303" max="2305"/>
    <col width="2.5703125" customWidth="1" style="127" min="2306" max="2309"/>
    <col width="3.7109375" customWidth="1" style="127" min="2310" max="2312"/>
    <col width="4.42578125" customWidth="1" style="127" min="2313" max="2343"/>
    <col width="9" customWidth="1" style="127" min="2344" max="2344"/>
    <col width="3.7109375" customWidth="1" style="127" min="2559" max="2561"/>
    <col width="2.5703125" customWidth="1" style="127" min="2562" max="2565"/>
    <col width="3.7109375" customWidth="1" style="127" min="2566" max="2568"/>
    <col width="4.42578125" customWidth="1" style="127" min="2569" max="2599"/>
    <col width="9" customWidth="1" style="127" min="2600" max="2600"/>
    <col width="3.7109375" customWidth="1" style="127" min="2815" max="2817"/>
    <col width="2.5703125" customWidth="1" style="127" min="2818" max="2821"/>
    <col width="3.7109375" customWidth="1" style="127" min="2822" max="2824"/>
    <col width="4.42578125" customWidth="1" style="127" min="2825" max="2855"/>
    <col width="9" customWidth="1" style="127" min="2856" max="2856"/>
    <col width="3.7109375" customWidth="1" style="127" min="3071" max="3073"/>
    <col width="2.5703125" customWidth="1" style="127" min="3074" max="3077"/>
    <col width="3.7109375" customWidth="1" style="127" min="3078" max="3080"/>
    <col width="4.42578125" customWidth="1" style="127" min="3081" max="3111"/>
    <col width="9" customWidth="1" style="127" min="3112" max="3112"/>
    <col width="3.7109375" customWidth="1" style="127" min="3327" max="3329"/>
    <col width="2.5703125" customWidth="1" style="127" min="3330" max="3333"/>
    <col width="3.7109375" customWidth="1" style="127" min="3334" max="3336"/>
    <col width="4.42578125" customWidth="1" style="127" min="3337" max="3367"/>
    <col width="9" customWidth="1" style="127" min="3368" max="3368"/>
    <col width="3.7109375" customWidth="1" style="127" min="3583" max="3585"/>
    <col width="2.5703125" customWidth="1" style="127" min="3586" max="3589"/>
    <col width="3.7109375" customWidth="1" style="127" min="3590" max="3592"/>
    <col width="4.42578125" customWidth="1" style="127" min="3593" max="3623"/>
    <col width="9" customWidth="1" style="127" min="3624" max="3624"/>
    <col width="3.7109375" customWidth="1" style="127" min="3839" max="3841"/>
    <col width="2.5703125" customWidth="1" style="127" min="3842" max="3845"/>
    <col width="3.7109375" customWidth="1" style="127" min="3846" max="3848"/>
    <col width="4.42578125" customWidth="1" style="127" min="3849" max="3879"/>
    <col width="9" customWidth="1" style="127" min="3880" max="3880"/>
    <col width="3.7109375" customWidth="1" style="127" min="4095" max="4097"/>
    <col width="2.5703125" customWidth="1" style="127" min="4098" max="4101"/>
    <col width="3.7109375" customWidth="1" style="127" min="4102" max="4104"/>
    <col width="4.42578125" customWidth="1" style="127" min="4105" max="4135"/>
    <col width="9" customWidth="1" style="127" min="4136" max="4136"/>
    <col width="3.7109375" customWidth="1" style="127" min="4351" max="4353"/>
    <col width="2.5703125" customWidth="1" style="127" min="4354" max="4357"/>
    <col width="3.7109375" customWidth="1" style="127" min="4358" max="4360"/>
    <col width="4.42578125" customWidth="1" style="127" min="4361" max="4391"/>
    <col width="9" customWidth="1" style="127" min="4392" max="4392"/>
    <col width="3.7109375" customWidth="1" style="127" min="4607" max="4609"/>
    <col width="2.5703125" customWidth="1" style="127" min="4610" max="4613"/>
    <col width="3.7109375" customWidth="1" style="127" min="4614" max="4616"/>
    <col width="4.42578125" customWidth="1" style="127" min="4617" max="4647"/>
    <col width="9" customWidth="1" style="127" min="4648" max="4648"/>
    <col width="3.7109375" customWidth="1" style="127" min="4863" max="4865"/>
    <col width="2.5703125" customWidth="1" style="127" min="4866" max="4869"/>
    <col width="3.7109375" customWidth="1" style="127" min="4870" max="4872"/>
    <col width="4.42578125" customWidth="1" style="127" min="4873" max="4903"/>
    <col width="9" customWidth="1" style="127" min="4904" max="4904"/>
    <col width="3.7109375" customWidth="1" style="127" min="5119" max="5121"/>
    <col width="2.5703125" customWidth="1" style="127" min="5122" max="5125"/>
    <col width="3.7109375" customWidth="1" style="127" min="5126" max="5128"/>
    <col width="4.42578125" customWidth="1" style="127" min="5129" max="5159"/>
    <col width="9" customWidth="1" style="127" min="5160" max="5160"/>
    <col width="3.7109375" customWidth="1" style="127" min="5375" max="5377"/>
    <col width="2.5703125" customWidth="1" style="127" min="5378" max="5381"/>
    <col width="3.7109375" customWidth="1" style="127" min="5382" max="5384"/>
    <col width="4.42578125" customWidth="1" style="127" min="5385" max="5415"/>
    <col width="9" customWidth="1" style="127" min="5416" max="5416"/>
    <col width="3.7109375" customWidth="1" style="127" min="5631" max="5633"/>
    <col width="2.5703125" customWidth="1" style="127" min="5634" max="5637"/>
    <col width="3.7109375" customWidth="1" style="127" min="5638" max="5640"/>
    <col width="4.42578125" customWidth="1" style="127" min="5641" max="5671"/>
    <col width="9" customWidth="1" style="127" min="5672" max="5672"/>
    <col width="3.7109375" customWidth="1" style="127" min="5887" max="5889"/>
    <col width="2.5703125" customWidth="1" style="127" min="5890" max="5893"/>
    <col width="3.7109375" customWidth="1" style="127" min="5894" max="5896"/>
    <col width="4.42578125" customWidth="1" style="127" min="5897" max="5927"/>
    <col width="9" customWidth="1" style="127" min="5928" max="5928"/>
    <col width="3.7109375" customWidth="1" style="127" min="6143" max="6145"/>
    <col width="2.5703125" customWidth="1" style="127" min="6146" max="6149"/>
    <col width="3.7109375" customWidth="1" style="127" min="6150" max="6152"/>
    <col width="4.42578125" customWidth="1" style="127" min="6153" max="6183"/>
    <col width="9" customWidth="1" style="127" min="6184" max="6184"/>
    <col width="3.7109375" customWidth="1" style="127" min="6399" max="6401"/>
    <col width="2.5703125" customWidth="1" style="127" min="6402" max="6405"/>
    <col width="3.7109375" customWidth="1" style="127" min="6406" max="6408"/>
    <col width="4.42578125" customWidth="1" style="127" min="6409" max="6439"/>
    <col width="9" customWidth="1" style="127" min="6440" max="6440"/>
    <col width="3.7109375" customWidth="1" style="127" min="6655" max="6657"/>
    <col width="2.5703125" customWidth="1" style="127" min="6658" max="6661"/>
    <col width="3.7109375" customWidth="1" style="127" min="6662" max="6664"/>
    <col width="4.42578125" customWidth="1" style="127" min="6665" max="6695"/>
    <col width="9" customWidth="1" style="127" min="6696" max="6696"/>
    <col width="3.7109375" customWidth="1" style="127" min="6911" max="6913"/>
    <col width="2.5703125" customWidth="1" style="127" min="6914" max="6917"/>
    <col width="3.7109375" customWidth="1" style="127" min="6918" max="6920"/>
    <col width="4.42578125" customWidth="1" style="127" min="6921" max="6951"/>
    <col width="9" customWidth="1" style="127" min="6952" max="6952"/>
    <col width="3.7109375" customWidth="1" style="127" min="7167" max="7169"/>
    <col width="2.5703125" customWidth="1" style="127" min="7170" max="7173"/>
    <col width="3.7109375" customWidth="1" style="127" min="7174" max="7176"/>
    <col width="4.42578125" customWidth="1" style="127" min="7177" max="7207"/>
    <col width="9" customWidth="1" style="127" min="7208" max="7208"/>
    <col width="3.7109375" customWidth="1" style="127" min="7423" max="7425"/>
    <col width="2.5703125" customWidth="1" style="127" min="7426" max="7429"/>
    <col width="3.7109375" customWidth="1" style="127" min="7430" max="7432"/>
    <col width="4.42578125" customWidth="1" style="127" min="7433" max="7463"/>
    <col width="9" customWidth="1" style="127" min="7464" max="7464"/>
    <col width="3.7109375" customWidth="1" style="127" min="7679" max="7681"/>
    <col width="2.5703125" customWidth="1" style="127" min="7682" max="7685"/>
    <col width="3.7109375" customWidth="1" style="127" min="7686" max="7688"/>
    <col width="4.42578125" customWidth="1" style="127" min="7689" max="7719"/>
    <col width="9" customWidth="1" style="127" min="7720" max="7720"/>
    <col width="3.7109375" customWidth="1" style="127" min="7935" max="7937"/>
    <col width="2.5703125" customWidth="1" style="127" min="7938" max="7941"/>
    <col width="3.7109375" customWidth="1" style="127" min="7942" max="7944"/>
    <col width="4.42578125" customWidth="1" style="127" min="7945" max="7975"/>
    <col width="9" customWidth="1" style="127" min="7976" max="7976"/>
    <col width="3.7109375" customWidth="1" style="127" min="8191" max="8193"/>
    <col width="2.5703125" customWidth="1" style="127" min="8194" max="8197"/>
    <col width="3.7109375" customWidth="1" style="127" min="8198" max="8200"/>
    <col width="4.42578125" customWidth="1" style="127" min="8201" max="8231"/>
    <col width="9" customWidth="1" style="127" min="8232" max="8232"/>
    <col width="3.7109375" customWidth="1" style="127" min="8447" max="8449"/>
    <col width="2.5703125" customWidth="1" style="127" min="8450" max="8453"/>
    <col width="3.7109375" customWidth="1" style="127" min="8454" max="8456"/>
    <col width="4.42578125" customWidth="1" style="127" min="8457" max="8487"/>
    <col width="9" customWidth="1" style="127" min="8488" max="8488"/>
    <col width="3.7109375" customWidth="1" style="127" min="8703" max="8705"/>
    <col width="2.5703125" customWidth="1" style="127" min="8706" max="8709"/>
    <col width="3.7109375" customWidth="1" style="127" min="8710" max="8712"/>
    <col width="4.42578125" customWidth="1" style="127" min="8713" max="8743"/>
    <col width="9" customWidth="1" style="127" min="8744" max="8744"/>
    <col width="3.7109375" customWidth="1" style="127" min="8959" max="8961"/>
    <col width="2.5703125" customWidth="1" style="127" min="8962" max="8965"/>
    <col width="3.7109375" customWidth="1" style="127" min="8966" max="8968"/>
    <col width="4.42578125" customWidth="1" style="127" min="8969" max="8999"/>
    <col width="9" customWidth="1" style="127" min="9000" max="9000"/>
    <col width="3.7109375" customWidth="1" style="127" min="9215" max="9217"/>
    <col width="2.5703125" customWidth="1" style="127" min="9218" max="9221"/>
    <col width="3.7109375" customWidth="1" style="127" min="9222" max="9224"/>
    <col width="4.42578125" customWidth="1" style="127" min="9225" max="9255"/>
    <col width="9" customWidth="1" style="127" min="9256" max="9256"/>
    <col width="3.7109375" customWidth="1" style="127" min="9471" max="9473"/>
    <col width="2.5703125" customWidth="1" style="127" min="9474" max="9477"/>
    <col width="3.7109375" customWidth="1" style="127" min="9478" max="9480"/>
    <col width="4.42578125" customWidth="1" style="127" min="9481" max="9511"/>
    <col width="9" customWidth="1" style="127" min="9512" max="9512"/>
    <col width="3.7109375" customWidth="1" style="127" min="9727" max="9729"/>
    <col width="2.5703125" customWidth="1" style="127" min="9730" max="9733"/>
    <col width="3.7109375" customWidth="1" style="127" min="9734" max="9736"/>
    <col width="4.42578125" customWidth="1" style="127" min="9737" max="9767"/>
    <col width="9" customWidth="1" style="127" min="9768" max="9768"/>
    <col width="3.7109375" customWidth="1" style="127" min="9983" max="9985"/>
    <col width="2.5703125" customWidth="1" style="127" min="9986" max="9989"/>
    <col width="3.7109375" customWidth="1" style="127" min="9990" max="9992"/>
    <col width="4.42578125" customWidth="1" style="127" min="9993" max="10023"/>
    <col width="9" customWidth="1" style="127" min="10024" max="10024"/>
    <col width="3.7109375" customWidth="1" style="127" min="10239" max="10241"/>
    <col width="2.5703125" customWidth="1" style="127" min="10242" max="10245"/>
    <col width="3.7109375" customWidth="1" style="127" min="10246" max="10248"/>
    <col width="4.42578125" customWidth="1" style="127" min="10249" max="10279"/>
    <col width="9" customWidth="1" style="127" min="10280" max="10280"/>
    <col width="3.7109375" customWidth="1" style="127" min="10495" max="10497"/>
    <col width="2.5703125" customWidth="1" style="127" min="10498" max="10501"/>
    <col width="3.7109375" customWidth="1" style="127" min="10502" max="10504"/>
    <col width="4.42578125" customWidth="1" style="127" min="10505" max="10535"/>
    <col width="9" customWidth="1" style="127" min="10536" max="10536"/>
    <col width="3.7109375" customWidth="1" style="127" min="10751" max="10753"/>
    <col width="2.5703125" customWidth="1" style="127" min="10754" max="10757"/>
    <col width="3.7109375" customWidth="1" style="127" min="10758" max="10760"/>
    <col width="4.42578125" customWidth="1" style="127" min="10761" max="10791"/>
    <col width="9" customWidth="1" style="127" min="10792" max="10792"/>
    <col width="3.7109375" customWidth="1" style="127" min="11007" max="11009"/>
    <col width="2.5703125" customWidth="1" style="127" min="11010" max="11013"/>
    <col width="3.7109375" customWidth="1" style="127" min="11014" max="11016"/>
    <col width="4.42578125" customWidth="1" style="127" min="11017" max="11047"/>
    <col width="9" customWidth="1" style="127" min="11048" max="11048"/>
    <col width="3.7109375" customWidth="1" style="127" min="11263" max="11265"/>
    <col width="2.5703125" customWidth="1" style="127" min="11266" max="11269"/>
    <col width="3.7109375" customWidth="1" style="127" min="11270" max="11272"/>
    <col width="4.42578125" customWidth="1" style="127" min="11273" max="11303"/>
    <col width="9" customWidth="1" style="127" min="11304" max="11304"/>
    <col width="3.7109375" customWidth="1" style="127" min="11519" max="11521"/>
    <col width="2.5703125" customWidth="1" style="127" min="11522" max="11525"/>
    <col width="3.7109375" customWidth="1" style="127" min="11526" max="11528"/>
    <col width="4.42578125" customWidth="1" style="127" min="11529" max="11559"/>
    <col width="9" customWidth="1" style="127" min="11560" max="11560"/>
    <col width="3.7109375" customWidth="1" style="127" min="11775" max="11777"/>
    <col width="2.5703125" customWidth="1" style="127" min="11778" max="11781"/>
    <col width="3.7109375" customWidth="1" style="127" min="11782" max="11784"/>
    <col width="4.42578125" customWidth="1" style="127" min="11785" max="11815"/>
    <col width="9" customWidth="1" style="127" min="11816" max="11816"/>
    <col width="3.7109375" customWidth="1" style="127" min="12031" max="12033"/>
    <col width="2.5703125" customWidth="1" style="127" min="12034" max="12037"/>
    <col width="3.7109375" customWidth="1" style="127" min="12038" max="12040"/>
    <col width="4.42578125" customWidth="1" style="127" min="12041" max="12071"/>
    <col width="9" customWidth="1" style="127" min="12072" max="12072"/>
    <col width="3.7109375" customWidth="1" style="127" min="12287" max="12289"/>
    <col width="2.5703125" customWidth="1" style="127" min="12290" max="12293"/>
    <col width="3.7109375" customWidth="1" style="127" min="12294" max="12296"/>
    <col width="4.42578125" customWidth="1" style="127" min="12297" max="12327"/>
    <col width="9" customWidth="1" style="127" min="12328" max="12328"/>
    <col width="3.7109375" customWidth="1" style="127" min="12543" max="12545"/>
    <col width="2.5703125" customWidth="1" style="127" min="12546" max="12549"/>
    <col width="3.7109375" customWidth="1" style="127" min="12550" max="12552"/>
    <col width="4.42578125" customWidth="1" style="127" min="12553" max="12583"/>
    <col width="9" customWidth="1" style="127" min="12584" max="12584"/>
    <col width="3.7109375" customWidth="1" style="127" min="12799" max="12801"/>
    <col width="2.5703125" customWidth="1" style="127" min="12802" max="12805"/>
    <col width="3.7109375" customWidth="1" style="127" min="12806" max="12808"/>
    <col width="4.42578125" customWidth="1" style="127" min="12809" max="12839"/>
    <col width="9" customWidth="1" style="127" min="12840" max="12840"/>
    <col width="3.7109375" customWidth="1" style="127" min="13055" max="13057"/>
    <col width="2.5703125" customWidth="1" style="127" min="13058" max="13061"/>
    <col width="3.7109375" customWidth="1" style="127" min="13062" max="13064"/>
    <col width="4.42578125" customWidth="1" style="127" min="13065" max="13095"/>
    <col width="9" customWidth="1" style="127" min="13096" max="13096"/>
    <col width="3.7109375" customWidth="1" style="127" min="13311" max="13313"/>
    <col width="2.5703125" customWidth="1" style="127" min="13314" max="13317"/>
    <col width="3.7109375" customWidth="1" style="127" min="13318" max="13320"/>
    <col width="4.42578125" customWidth="1" style="127" min="13321" max="13351"/>
    <col width="9" customWidth="1" style="127" min="13352" max="13352"/>
    <col width="3.7109375" customWidth="1" style="127" min="13567" max="13569"/>
    <col width="2.5703125" customWidth="1" style="127" min="13570" max="13573"/>
    <col width="3.7109375" customWidth="1" style="127" min="13574" max="13576"/>
    <col width="4.42578125" customWidth="1" style="127" min="13577" max="13607"/>
    <col width="9" customWidth="1" style="127" min="13608" max="13608"/>
    <col width="3.7109375" customWidth="1" style="127" min="13823" max="13825"/>
    <col width="2.5703125" customWidth="1" style="127" min="13826" max="13829"/>
    <col width="3.7109375" customWidth="1" style="127" min="13830" max="13832"/>
    <col width="4.42578125" customWidth="1" style="127" min="13833" max="13863"/>
    <col width="9" customWidth="1" style="127" min="13864" max="13864"/>
    <col width="3.7109375" customWidth="1" style="127" min="14079" max="14081"/>
    <col width="2.5703125" customWidth="1" style="127" min="14082" max="14085"/>
    <col width="3.7109375" customWidth="1" style="127" min="14086" max="14088"/>
    <col width="4.42578125" customWidth="1" style="127" min="14089" max="14119"/>
    <col width="9" customWidth="1" style="127" min="14120" max="14120"/>
    <col width="3.7109375" customWidth="1" style="127" min="14335" max="14337"/>
    <col width="2.5703125" customWidth="1" style="127" min="14338" max="14341"/>
    <col width="3.7109375" customWidth="1" style="127" min="14342" max="14344"/>
    <col width="4.42578125" customWidth="1" style="127" min="14345" max="14375"/>
    <col width="9" customWidth="1" style="127" min="14376" max="14376"/>
    <col width="3.7109375" customWidth="1" style="127" min="14591" max="14593"/>
    <col width="2.5703125" customWidth="1" style="127" min="14594" max="14597"/>
    <col width="3.7109375" customWidth="1" style="127" min="14598" max="14600"/>
    <col width="4.42578125" customWidth="1" style="127" min="14601" max="14631"/>
    <col width="9" customWidth="1" style="127" min="14632" max="14632"/>
    <col width="3.7109375" customWidth="1" style="127" min="14847" max="14849"/>
    <col width="2.5703125" customWidth="1" style="127" min="14850" max="14853"/>
    <col width="3.7109375" customWidth="1" style="127" min="14854" max="14856"/>
    <col width="4.42578125" customWidth="1" style="127" min="14857" max="14887"/>
    <col width="9" customWidth="1" style="127" min="14888" max="14888"/>
    <col width="3.7109375" customWidth="1" style="127" min="15103" max="15105"/>
    <col width="2.5703125" customWidth="1" style="127" min="15106" max="15109"/>
    <col width="3.7109375" customWidth="1" style="127" min="15110" max="15112"/>
    <col width="4.42578125" customWidth="1" style="127" min="15113" max="15143"/>
    <col width="9" customWidth="1" style="127" min="15144" max="15144"/>
    <col width="3.7109375" customWidth="1" style="127" min="15359" max="15361"/>
    <col width="2.5703125" customWidth="1" style="127" min="15362" max="15365"/>
    <col width="3.7109375" customWidth="1" style="127" min="15366" max="15368"/>
    <col width="4.42578125" customWidth="1" style="127" min="15369" max="15399"/>
    <col width="9" customWidth="1" style="127" min="15400" max="15400"/>
    <col width="3.7109375" customWidth="1" style="127" min="15615" max="15617"/>
    <col width="2.5703125" customWidth="1" style="127" min="15618" max="15621"/>
    <col width="3.7109375" customWidth="1" style="127" min="15622" max="15624"/>
    <col width="4.42578125" customWidth="1" style="127" min="15625" max="15655"/>
    <col width="9" customWidth="1" style="127" min="15656" max="15656"/>
    <col width="3.7109375" customWidth="1" style="127" min="15871" max="15873"/>
    <col width="2.5703125" customWidth="1" style="127" min="15874" max="15877"/>
    <col width="3.7109375" customWidth="1" style="127" min="15878" max="15880"/>
    <col width="4.42578125" customWidth="1" style="127" min="15881" max="15911"/>
    <col width="9" customWidth="1" style="127" min="15912" max="15912"/>
    <col width="3.7109375" customWidth="1" style="127" min="16127" max="16129"/>
    <col width="2.5703125" customWidth="1" style="127" min="16130" max="16133"/>
    <col width="3.7109375" customWidth="1" style="127" min="16134" max="16136"/>
    <col width="4.42578125" customWidth="1" style="127" min="16137" max="16167"/>
    <col width="9" customWidth="1" style="127" min="16168" max="16168"/>
  </cols>
  <sheetData>
    <row r="1" ht="30.75" customHeight="1" s="127">
      <c r="A1" s="10" t="n"/>
      <c r="B1" s="100" t="inlineStr">
        <is>
          <t>LỊCH GIAO HÀNG DO SUNG
DO SUNG会社の納品スケジュール</t>
        </is>
      </c>
    </row>
    <row r="2" ht="55.5" customHeight="1" s="127">
      <c r="A2" s="10" t="n"/>
    </row>
    <row r="3" ht="30.75" customHeight="1" s="127">
      <c r="A3" s="7" t="n"/>
    </row>
    <row r="4" ht="30.75" customHeight="1" s="127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101" t="n"/>
      <c r="AL4" s="7" t="n"/>
      <c r="AM4" s="7" t="n"/>
    </row>
    <row r="5" ht="21" customHeight="1" s="127" thickBot="1">
      <c r="B5" s="85" t="n">
        <v>2026</v>
      </c>
      <c r="D5" s="85" t="inlineStr">
        <is>
          <t>年</t>
        </is>
      </c>
      <c r="E5" s="85" t="n">
        <v>1</v>
      </c>
      <c r="F5" s="29" t="inlineStr">
        <is>
          <t>月</t>
        </is>
      </c>
      <c r="G5" s="8" t="n"/>
      <c r="H5" s="3" t="n"/>
      <c r="I5" s="3" t="n"/>
      <c r="J5" s="5" t="n"/>
      <c r="K5" s="5" t="n"/>
      <c r="L5" s="5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7" t="n"/>
    </row>
    <row r="6" ht="20.25" customFormat="1" customHeight="1" s="11">
      <c r="A6" s="128" t="inlineStr">
        <is>
          <t>JOINTER
PAR-011</t>
        </is>
      </c>
      <c r="B6" s="89" t="inlineStr">
        <is>
          <t>輸送</t>
        </is>
      </c>
      <c r="C6" s="129" t="n"/>
      <c r="D6" s="90" t="inlineStr">
        <is>
          <t>日</t>
        </is>
      </c>
      <c r="E6" s="130" t="n"/>
      <c r="F6" s="131" t="n"/>
      <c r="G6" s="132">
        <f>DATE(B5,E5,1)</f>
        <v/>
      </c>
      <c r="H6" s="132">
        <f>IF(G6="","",IF(DAY(G6+1)=1,"",G6+1))</f>
        <v/>
      </c>
      <c r="I6" s="132">
        <f>IF(H6="","",IF(DAY(H6+1)=1,"",H6+1))</f>
        <v/>
      </c>
      <c r="J6" s="132">
        <f>IF(I6="","",IF(DAY(I6+1)=1,"",I6+1))</f>
        <v/>
      </c>
      <c r="K6" s="132">
        <f>IF(J6="","",IF(DAY(J6+1)=1,"",J6+1))</f>
        <v/>
      </c>
      <c r="L6" s="132">
        <f>IF(K6="","",IF(DAY(K6+1)=1,"",K6+1))</f>
        <v/>
      </c>
      <c r="M6" s="132">
        <f>IF(L6="","",IF(DAY(L6+1)=1,"",L6+1))</f>
        <v/>
      </c>
      <c r="N6" s="132">
        <f>IF(M6="","",IF(DAY(M6+1)=1,"",M6+1))</f>
        <v/>
      </c>
      <c r="O6" s="132">
        <f>IF(N6="","",IF(DAY(N6+1)=1,"",N6+1))</f>
        <v/>
      </c>
      <c r="P6" s="132">
        <f>IF(O6="","",IF(DAY(O6+1)=1,"",O6+1))</f>
        <v/>
      </c>
      <c r="Q6" s="132">
        <f>IF(P6="","",IF(DAY(P6+1)=1,"",P6+1))</f>
        <v/>
      </c>
      <c r="R6" s="132">
        <f>IF(Q6="","",IF(DAY(Q6+1)=1,"",Q6+1))</f>
        <v/>
      </c>
      <c r="S6" s="132">
        <f>IF(R6="","",IF(DAY(R6+1)=1,"",R6+1))</f>
        <v/>
      </c>
      <c r="T6" s="132">
        <f>IF(S6="","",IF(DAY(S6+1)=1,"",S6+1))</f>
        <v/>
      </c>
      <c r="U6" s="132">
        <f>IF(T6="","",IF(DAY(T6+1)=1,"",T6+1))</f>
        <v/>
      </c>
      <c r="V6" s="132">
        <f>IF(U6="","",IF(DAY(U6+1)=1,"",U6+1))</f>
        <v/>
      </c>
      <c r="W6" s="132">
        <f>IF(V6="","",IF(DAY(V6+1)=1,"",V6+1))</f>
        <v/>
      </c>
      <c r="X6" s="132">
        <f>IF(W6="","",IF(DAY(W6+1)=1,"",W6+1))</f>
        <v/>
      </c>
      <c r="Y6" s="132">
        <f>IF(X6="","",IF(DAY(X6+1)=1,"",X6+1))</f>
        <v/>
      </c>
      <c r="Z6" s="132">
        <f>IF(Y6="","",IF(DAY(Y6+1)=1,"",Y6+1))</f>
        <v/>
      </c>
      <c r="AA6" s="132">
        <f>IF(Z6="","",IF(DAY(Z6+1)=1,"",Z6+1))</f>
        <v/>
      </c>
      <c r="AB6" s="132">
        <f>IF(AA6="","",IF(DAY(AA6+1)=1,"",AA6+1))</f>
        <v/>
      </c>
      <c r="AC6" s="132">
        <f>IF(AB6="","",IF(DAY(AB6+1)=1,"",AB6+1))</f>
        <v/>
      </c>
      <c r="AD6" s="132">
        <f>IF(AC6="","",IF(DAY(AC6+1)=1,"",AC6+1))</f>
        <v/>
      </c>
      <c r="AE6" s="132">
        <f>IF(AD6="","",IF(DAY(AD6+1)=1,"",AD6+1))</f>
        <v/>
      </c>
      <c r="AF6" s="132">
        <f>IF(AE6="","",IF(DAY(AE6+1)=1,"",AE6+1))</f>
        <v/>
      </c>
      <c r="AG6" s="132">
        <f>IF(AF6="","",IF(DAY(AF6+1)=1,"",AF6+1))</f>
        <v/>
      </c>
      <c r="AH6" s="132">
        <f>IF(AG6="","",IF(DAY(AG6+1)=1,"",AG6+1))</f>
        <v/>
      </c>
      <c r="AI6" s="132">
        <f>IF(AH6="","",IF(DAY(AH6+1)=1,"",AH6+1))</f>
        <v/>
      </c>
      <c r="AJ6" s="132">
        <f>IF(AI6="","",IF(DAY(AI6+1)=1,"",AI6+1))</f>
        <v/>
      </c>
      <c r="AK6" s="132">
        <f>IF(AJ6="","",IF(DAY(AJ6+1)=1,"",AJ6+1))</f>
        <v/>
      </c>
      <c r="AL6" s="133" t="inlineStr">
        <is>
          <t>Total</t>
        </is>
      </c>
      <c r="AM6" s="7" t="n"/>
      <c r="AN6" s="21" t="n"/>
      <c r="AO6" s="20" t="n"/>
    </row>
    <row r="7" ht="20.25" customFormat="1" customHeight="1" s="11">
      <c r="A7" s="134" t="n"/>
      <c r="B7" s="135" t="n"/>
      <c r="C7" s="136" t="n"/>
      <c r="D7" s="92" t="inlineStr">
        <is>
          <t>時間</t>
        </is>
      </c>
      <c r="E7" s="137" t="n"/>
      <c r="F7" s="138" t="n"/>
      <c r="G7" s="139">
        <f>+G6</f>
        <v/>
      </c>
      <c r="H7" s="139">
        <f>+H6</f>
        <v/>
      </c>
      <c r="I7" s="139">
        <f>+I6</f>
        <v/>
      </c>
      <c r="J7" s="139">
        <f>+J6</f>
        <v/>
      </c>
      <c r="K7" s="139">
        <f>+K6</f>
        <v/>
      </c>
      <c r="L7" s="139">
        <f>+L6</f>
        <v/>
      </c>
      <c r="M7" s="139">
        <f>+M6</f>
        <v/>
      </c>
      <c r="N7" s="139">
        <f>+N6</f>
        <v/>
      </c>
      <c r="O7" s="139">
        <f>+O6</f>
        <v/>
      </c>
      <c r="P7" s="139">
        <f>+P6</f>
        <v/>
      </c>
      <c r="Q7" s="139">
        <f>+Q6</f>
        <v/>
      </c>
      <c r="R7" s="139">
        <f>+R6</f>
        <v/>
      </c>
      <c r="S7" s="139">
        <f>+S6</f>
        <v/>
      </c>
      <c r="T7" s="139">
        <f>+T6</f>
        <v/>
      </c>
      <c r="U7" s="139">
        <f>+U6</f>
        <v/>
      </c>
      <c r="V7" s="139">
        <f>+V6</f>
        <v/>
      </c>
      <c r="W7" s="139">
        <f>+W6</f>
        <v/>
      </c>
      <c r="X7" s="139">
        <f>+X6</f>
        <v/>
      </c>
      <c r="Y7" s="139">
        <f>+Y6</f>
        <v/>
      </c>
      <c r="Z7" s="139">
        <f>+Z6</f>
        <v/>
      </c>
      <c r="AA7" s="139">
        <f>+AA6</f>
        <v/>
      </c>
      <c r="AB7" s="139">
        <f>+AB6</f>
        <v/>
      </c>
      <c r="AC7" s="139">
        <f>+AC6</f>
        <v/>
      </c>
      <c r="AD7" s="139">
        <f>+AD6</f>
        <v/>
      </c>
      <c r="AE7" s="139">
        <f>+AE6</f>
        <v/>
      </c>
      <c r="AF7" s="139">
        <f>+AF6</f>
        <v/>
      </c>
      <c r="AG7" s="139">
        <f>+AG6</f>
        <v/>
      </c>
      <c r="AH7" s="139">
        <f>+AH6</f>
        <v/>
      </c>
      <c r="AI7" s="139">
        <f>+AI6</f>
        <v/>
      </c>
      <c r="AJ7" s="139">
        <f>+AJ6</f>
        <v/>
      </c>
      <c r="AK7" s="139">
        <f>+AK6</f>
        <v/>
      </c>
      <c r="AL7" s="140" t="n"/>
      <c r="AN7" s="21" t="n"/>
      <c r="AO7" s="20" t="n"/>
    </row>
    <row r="8" ht="56.25" customFormat="1" customHeight="1" s="11">
      <c r="A8" s="134" t="n"/>
      <c r="B8" s="141" t="inlineStr">
        <is>
          <t>PO 注文書</t>
        </is>
      </c>
      <c r="C8" s="142" t="n"/>
      <c r="D8" s="142" t="n"/>
      <c r="E8" s="142" t="n"/>
      <c r="F8" s="143" t="n"/>
      <c r="G8" s="144" t="n"/>
      <c r="H8" s="145" t="n"/>
      <c r="I8" s="144" t="n"/>
      <c r="J8" s="145" t="n"/>
      <c r="K8" s="145" t="n"/>
      <c r="L8" s="145" t="n">
        <v>5000</v>
      </c>
      <c r="M8" s="145" t="n"/>
      <c r="N8" s="145" t="n"/>
      <c r="O8" s="145" t="n"/>
      <c r="P8" s="145" t="n"/>
      <c r="Q8" s="145" t="n"/>
      <c r="R8" s="145" t="n">
        <v>5000</v>
      </c>
      <c r="S8" s="145" t="n"/>
      <c r="T8" s="145" t="n"/>
      <c r="U8" s="145" t="n"/>
      <c r="V8" s="145" t="n"/>
      <c r="W8" s="145" t="n"/>
      <c r="X8" s="145" t="n"/>
      <c r="Y8" s="145" t="n">
        <v>5000</v>
      </c>
      <c r="Z8" s="145" t="n"/>
      <c r="AA8" s="145" t="n"/>
      <c r="AB8" s="145" t="n"/>
      <c r="AC8" s="145" t="n"/>
      <c r="AD8" s="145" t="n"/>
      <c r="AE8" s="145" t="n"/>
      <c r="AF8" s="145" t="n">
        <v>5000</v>
      </c>
      <c r="AG8" s="145" t="n"/>
      <c r="AH8" s="145" t="n"/>
      <c r="AI8" s="145" t="n"/>
      <c r="AJ8" s="145" t="n"/>
      <c r="AK8" s="145" t="n"/>
      <c r="AL8" s="146">
        <f>SUM(G8:AK8)</f>
        <v/>
      </c>
      <c r="AN8" s="147" t="inlineStr">
        <is>
          <t>Tồn PO
注文の 残量</t>
        </is>
      </c>
      <c r="AO8" s="148">
        <f>14613+AL8-AO9</f>
        <v/>
      </c>
    </row>
    <row r="9" ht="56.25" customHeight="1" s="127">
      <c r="A9" s="134" t="n"/>
      <c r="B9" s="96" t="inlineStr">
        <is>
          <t xml:space="preserve">計画数量
kế hoạch </t>
        </is>
      </c>
      <c r="C9" s="149" t="n"/>
      <c r="D9" s="149" t="n"/>
      <c r="E9" s="149" t="n"/>
      <c r="F9" s="150" t="n"/>
      <c r="G9" s="144" t="n"/>
      <c r="H9" s="144" t="n">
        <v>480</v>
      </c>
      <c r="I9" s="144" t="n"/>
      <c r="J9" s="145" t="n"/>
      <c r="K9" s="145" t="n">
        <v>1200</v>
      </c>
      <c r="L9" s="145" t="n">
        <v>1200</v>
      </c>
      <c r="M9" s="145" t="n">
        <v>1000</v>
      </c>
      <c r="N9" s="145" t="n">
        <v>600</v>
      </c>
      <c r="O9" s="145" t="n">
        <v>870</v>
      </c>
      <c r="P9" s="145" t="n"/>
      <c r="Q9" s="145" t="n"/>
      <c r="R9" s="145" t="n">
        <v>1350</v>
      </c>
      <c r="S9" s="145" t="n">
        <v>420</v>
      </c>
      <c r="T9" s="145" t="n">
        <v>1000</v>
      </c>
      <c r="U9" s="145" t="n">
        <v>1000</v>
      </c>
      <c r="V9" s="145" t="n">
        <v>1000</v>
      </c>
      <c r="W9" s="145" t="n">
        <v>1000</v>
      </c>
      <c r="X9" s="145" t="n"/>
      <c r="Y9" s="145" t="n">
        <v>1000</v>
      </c>
      <c r="Z9" s="145" t="n">
        <v>1000</v>
      </c>
      <c r="AA9" s="145" t="n">
        <v>1000</v>
      </c>
      <c r="AB9" s="145" t="n">
        <v>1000</v>
      </c>
      <c r="AC9" s="145" t="n">
        <v>1000</v>
      </c>
      <c r="AD9" s="145" t="n">
        <v>1000</v>
      </c>
      <c r="AE9" s="145" t="n"/>
      <c r="AF9" s="145" t="n">
        <v>1000</v>
      </c>
      <c r="AG9" s="145" t="n">
        <v>1000</v>
      </c>
      <c r="AH9" s="145" t="n">
        <v>1000</v>
      </c>
      <c r="AI9" s="145" t="n">
        <v>1000</v>
      </c>
      <c r="AJ9" s="145" t="n">
        <v>1000</v>
      </c>
      <c r="AK9" s="145" t="n">
        <v>1000</v>
      </c>
      <c r="AL9" s="151">
        <f>SUM(G9:AK9)</f>
        <v/>
      </c>
      <c r="AM9" s="0" t="n"/>
      <c r="AN9" s="24" t="inlineStr">
        <is>
          <t>Tổng nhập 総入荷数量
（A)-(B)+(C)</t>
        </is>
      </c>
      <c r="AO9" s="152">
        <f>AL10-AL11+AL12</f>
        <v/>
      </c>
    </row>
    <row r="10" ht="56.25" customHeight="1" s="127">
      <c r="A10" s="134" t="n"/>
      <c r="B10" s="96" t="inlineStr">
        <is>
          <t>実際の納品数量
số lượng thực nhập</t>
        </is>
      </c>
      <c r="C10" s="149" t="n"/>
      <c r="D10" s="149" t="n"/>
      <c r="E10" s="149" t="n"/>
      <c r="F10" s="150" t="n"/>
      <c r="G10" s="153" t="n"/>
      <c r="H10" s="153" t="n">
        <v>480</v>
      </c>
      <c r="I10" s="154" t="n"/>
      <c r="J10" s="155" t="n"/>
      <c r="K10" s="156" t="n">
        <v>1200</v>
      </c>
      <c r="L10" s="156" t="n">
        <v>1200</v>
      </c>
      <c r="M10" s="155" t="n"/>
      <c r="N10" s="155" t="n">
        <v>600</v>
      </c>
      <c r="O10" s="155" t="n">
        <v>870</v>
      </c>
      <c r="P10" s="155" t="n"/>
      <c r="Q10" s="156" t="n"/>
      <c r="R10" s="156" t="n">
        <v>1350</v>
      </c>
      <c r="S10" s="156" t="n">
        <v>420</v>
      </c>
      <c r="T10" s="156" t="n"/>
      <c r="U10" s="156" t="n">
        <v>1050</v>
      </c>
      <c r="V10" s="156" t="n">
        <v>1500</v>
      </c>
      <c r="W10" s="156" t="n">
        <v>1110</v>
      </c>
      <c r="X10" s="156" t="n"/>
      <c r="Y10" s="156" t="n">
        <v>1050</v>
      </c>
      <c r="Z10" s="156" t="n">
        <v>750</v>
      </c>
      <c r="AA10" s="156" t="n">
        <v>1020</v>
      </c>
      <c r="AB10" s="156" t="n">
        <v>750</v>
      </c>
      <c r="AC10" s="155" t="n">
        <v>1140</v>
      </c>
      <c r="AD10" s="155" t="n">
        <v>600</v>
      </c>
      <c r="AE10" s="156" t="n"/>
      <c r="AF10" s="156" t="n">
        <v>1110</v>
      </c>
      <c r="AG10" s="155" t="n">
        <v>510</v>
      </c>
      <c r="AH10" s="155" t="n">
        <v>750</v>
      </c>
      <c r="AI10" s="156" t="n">
        <v>900</v>
      </c>
      <c r="AJ10" s="156" t="n">
        <v>1200</v>
      </c>
      <c r="AK10" s="156" t="n">
        <v>1200</v>
      </c>
      <c r="AL10" s="157">
        <f>SUM(G10:AK10)</f>
        <v/>
      </c>
      <c r="AM10" s="6" t="inlineStr">
        <is>
          <t>(A)</t>
        </is>
      </c>
      <c r="AN10" s="24" t="inlineStr">
        <is>
          <t>Số lượng chưa khai tháng trước 先月まだ税関に申告されていない数量</t>
        </is>
      </c>
      <c r="AO10" s="148" t="n">
        <v>3417</v>
      </c>
    </row>
    <row r="11" ht="56.25" customHeight="1" s="127">
      <c r="A11" s="134" t="n"/>
      <c r="B11" s="96" t="inlineStr">
        <is>
          <t>NG数量（DO SUNG 社変更済）
số lượng NG (Trả hàng DO SUNG)</t>
        </is>
      </c>
      <c r="C11" s="149" t="n"/>
      <c r="D11" s="149" t="n"/>
      <c r="E11" s="149" t="n"/>
      <c r="F11" s="150" t="n"/>
      <c r="G11" s="144" t="n"/>
      <c r="H11" s="144" t="n"/>
      <c r="I11" s="144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  <c r="AC11" s="145" t="n"/>
      <c r="AD11" s="145" t="n"/>
      <c r="AE11" s="145" t="n"/>
      <c r="AF11" s="145" t="n"/>
      <c r="AG11" s="145" t="n"/>
      <c r="AH11" s="145" t="n"/>
      <c r="AI11" s="145" t="n">
        <v>275</v>
      </c>
      <c r="AJ11" s="145" t="n"/>
      <c r="AK11" s="145" t="n"/>
      <c r="AL11" s="158">
        <f>SUM(G11:AK11)</f>
        <v/>
      </c>
      <c r="AM11" s="6" t="inlineStr">
        <is>
          <t>(B)</t>
        </is>
      </c>
      <c r="AN11" s="24" t="inlineStr">
        <is>
          <t>Số lượng đã khai tháng này 今月税関に申告された数量</t>
        </is>
      </c>
      <c r="AO11" s="26">
        <f>20000+2702</f>
        <v/>
      </c>
    </row>
    <row r="12" ht="56.25" customHeight="1" s="127" thickBot="1">
      <c r="A12" s="159" t="n"/>
      <c r="B12" s="98" t="inlineStr">
        <is>
          <t>NG数量（DO SUNG　社しゅり済）
số lượng NG (DO SUNG đã sửa )</t>
        </is>
      </c>
      <c r="C12" s="160" t="n"/>
      <c r="D12" s="160" t="n"/>
      <c r="E12" s="160" t="n"/>
      <c r="F12" s="161" t="n"/>
      <c r="G12" s="162" t="n"/>
      <c r="H12" s="162" t="n"/>
      <c r="I12" s="163" t="n"/>
      <c r="J12" s="164" t="n"/>
      <c r="K12" s="165" t="n"/>
      <c r="L12" s="164" t="n"/>
      <c r="M12" s="164" t="n"/>
      <c r="N12" s="164" t="n"/>
      <c r="O12" s="164" t="n"/>
      <c r="P12" s="164" t="n"/>
      <c r="Q12" s="164" t="n"/>
      <c r="R12" s="165" t="n"/>
      <c r="S12" s="164" t="n"/>
      <c r="T12" s="164" t="n"/>
      <c r="U12" s="164" t="n"/>
      <c r="V12" s="164" t="n"/>
      <c r="W12" s="164" t="n"/>
      <c r="X12" s="164" t="n"/>
      <c r="Y12" s="165" t="n"/>
      <c r="Z12" s="164" t="n"/>
      <c r="AA12" s="164" t="n"/>
      <c r="AB12" s="164" t="n"/>
      <c r="AC12" s="164" t="n"/>
      <c r="AD12" s="164" t="n"/>
      <c r="AE12" s="165" t="n"/>
      <c r="AF12" s="165" t="n"/>
      <c r="AG12" s="164" t="n"/>
      <c r="AH12" s="164" t="n"/>
      <c r="AI12" s="164" t="n"/>
      <c r="AJ12" s="165" t="n"/>
      <c r="AK12" s="165" t="n"/>
      <c r="AL12" s="166">
        <f>SUM(G12:AK12)</f>
        <v/>
      </c>
      <c r="AM12" s="6" t="inlineStr">
        <is>
          <t>(C)</t>
        </is>
      </c>
      <c r="AN12" s="24" t="inlineStr">
        <is>
          <t>Số lượng còn lại chưa khai 残りの数量はまだ税関に申告されていません</t>
        </is>
      </c>
      <c r="AO12" s="148">
        <f>AO10+AO9-AO11</f>
        <v/>
      </c>
      <c r="AP12" s="167" t="n"/>
      <c r="AR12" s="168" t="n"/>
    </row>
    <row r="14" ht="21" customHeight="1" s="127" thickBot="1">
      <c r="B14" s="85" t="n">
        <v>2026</v>
      </c>
      <c r="D14" s="85" t="inlineStr">
        <is>
          <t>年</t>
        </is>
      </c>
      <c r="E14" s="85" t="n">
        <v>2</v>
      </c>
      <c r="F14" s="29" t="inlineStr">
        <is>
          <t>月</t>
        </is>
      </c>
      <c r="G14" s="8" t="n"/>
      <c r="H14" s="3" t="n"/>
      <c r="I14" s="3" t="n"/>
      <c r="J14" s="5" t="n"/>
      <c r="K14" s="5" t="n"/>
      <c r="L14" s="5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7" t="n"/>
    </row>
    <row r="15" ht="20.25" customFormat="1" customHeight="1" s="11">
      <c r="A15" s="128" t="inlineStr">
        <is>
          <t>JOINTER
PAR-011</t>
        </is>
      </c>
      <c r="B15" s="89" t="inlineStr">
        <is>
          <t>輸送</t>
        </is>
      </c>
      <c r="C15" s="129" t="n"/>
      <c r="D15" s="90" t="inlineStr">
        <is>
          <t>日</t>
        </is>
      </c>
      <c r="E15" s="130" t="n"/>
      <c r="F15" s="131" t="n"/>
      <c r="G15" s="132">
        <f>DATE(B14,E14,1)</f>
        <v/>
      </c>
      <c r="H15" s="132">
        <f>IF(G15="","",IF(DAY(G15+1)=1,"",G15+1))</f>
        <v/>
      </c>
      <c r="I15" s="132">
        <f>IF(H15="","",IF(DAY(H15+1)=1,"",H15+1))</f>
        <v/>
      </c>
      <c r="J15" s="132">
        <f>IF(I15="","",IF(DAY(I15+1)=1,"",I15+1))</f>
        <v/>
      </c>
      <c r="K15" s="132">
        <f>IF(J15="","",IF(DAY(J15+1)=1,"",J15+1))</f>
        <v/>
      </c>
      <c r="L15" s="132">
        <f>IF(K15="","",IF(DAY(K15+1)=1,"",K15+1))</f>
        <v/>
      </c>
      <c r="M15" s="132">
        <f>IF(L15="","",IF(DAY(L15+1)=1,"",L15+1))</f>
        <v/>
      </c>
      <c r="N15" s="132">
        <f>IF(M15="","",IF(DAY(M15+1)=1,"",M15+1))</f>
        <v/>
      </c>
      <c r="O15" s="132">
        <f>IF(N15="","",IF(DAY(N15+1)=1,"",N15+1))</f>
        <v/>
      </c>
      <c r="P15" s="132">
        <f>IF(O15="","",IF(DAY(O15+1)=1,"",O15+1))</f>
        <v/>
      </c>
      <c r="Q15" s="132">
        <f>IF(P15="","",IF(DAY(P15+1)=1,"",P15+1))</f>
        <v/>
      </c>
      <c r="R15" s="132">
        <f>IF(Q15="","",IF(DAY(Q15+1)=1,"",Q15+1))</f>
        <v/>
      </c>
      <c r="S15" s="132">
        <f>IF(R15="","",IF(DAY(R15+1)=1,"",R15+1))</f>
        <v/>
      </c>
      <c r="T15" s="132">
        <f>IF(S15="","",IF(DAY(S15+1)=1,"",S15+1))</f>
        <v/>
      </c>
      <c r="U15" s="132">
        <f>IF(T15="","",IF(DAY(T15+1)=1,"",T15+1))</f>
        <v/>
      </c>
      <c r="V15" s="132">
        <f>IF(U15="","",IF(DAY(U15+1)=1,"",U15+1))</f>
        <v/>
      </c>
      <c r="W15" s="132">
        <f>IF(V15="","",IF(DAY(V15+1)=1,"",V15+1))</f>
        <v/>
      </c>
      <c r="X15" s="132">
        <f>IF(W15="","",IF(DAY(W15+1)=1,"",W15+1))</f>
        <v/>
      </c>
      <c r="Y15" s="132">
        <f>IF(X15="","",IF(DAY(X15+1)=1,"",X15+1))</f>
        <v/>
      </c>
      <c r="Z15" s="132">
        <f>IF(Y15="","",IF(DAY(Y15+1)=1,"",Y15+1))</f>
        <v/>
      </c>
      <c r="AA15" s="132">
        <f>IF(Z15="","",IF(DAY(Z15+1)=1,"",Z15+1))</f>
        <v/>
      </c>
      <c r="AB15" s="132">
        <f>IF(AA15="","",IF(DAY(AA15+1)=1,"",AA15+1))</f>
        <v/>
      </c>
      <c r="AC15" s="132">
        <f>IF(AB15="","",IF(DAY(AB15+1)=1,"",AB15+1))</f>
        <v/>
      </c>
      <c r="AD15" s="132">
        <f>IF(AC15="","",IF(DAY(AC15+1)=1,"",AC15+1))</f>
        <v/>
      </c>
      <c r="AE15" s="132">
        <f>IF(AD15="","",IF(DAY(AD15+1)=1,"",AD15+1))</f>
        <v/>
      </c>
      <c r="AF15" s="132">
        <f>IF(AE15="","",IF(DAY(AE15+1)=1,"",AE15+1))</f>
        <v/>
      </c>
      <c r="AG15" s="132">
        <f>IF(AF15="","",IF(DAY(AF15+1)=1,"",AF15+1))</f>
        <v/>
      </c>
      <c r="AH15" s="132">
        <f>IF(AG15="","",IF(DAY(AG15+1)=1,"",AG15+1))</f>
        <v/>
      </c>
      <c r="AI15" s="132">
        <f>IF(AH15="","",IF(DAY(AH15+1)=1,"",AH15+1))</f>
        <v/>
      </c>
      <c r="AJ15" s="132">
        <f>IF(AI15="","",IF(DAY(AI15+1)=1,"",AI15+1))</f>
        <v/>
      </c>
      <c r="AK15" s="132">
        <f>IF(AJ15="","",IF(DAY(AJ15+1)=1,"",AJ15+1))</f>
        <v/>
      </c>
      <c r="AL15" s="133" t="inlineStr">
        <is>
          <t>Total</t>
        </is>
      </c>
      <c r="AM15" s="7" t="n"/>
      <c r="AN15" s="21" t="n"/>
      <c r="AO15" s="20" t="n"/>
    </row>
    <row r="16" ht="20.25" customFormat="1" customHeight="1" s="11">
      <c r="A16" s="134" t="n"/>
      <c r="B16" s="135" t="n"/>
      <c r="C16" s="136" t="n"/>
      <c r="D16" s="92" t="inlineStr">
        <is>
          <t>時間</t>
        </is>
      </c>
      <c r="E16" s="137" t="n"/>
      <c r="F16" s="138" t="n"/>
      <c r="G16" s="139">
        <f>+G15</f>
        <v/>
      </c>
      <c r="H16" s="139">
        <f>+H15</f>
        <v/>
      </c>
      <c r="I16" s="139">
        <f>+I15</f>
        <v/>
      </c>
      <c r="J16" s="139">
        <f>+J15</f>
        <v/>
      </c>
      <c r="K16" s="139">
        <f>+K15</f>
        <v/>
      </c>
      <c r="L16" s="139">
        <f>+L15</f>
        <v/>
      </c>
      <c r="M16" s="139">
        <f>+M15</f>
        <v/>
      </c>
      <c r="N16" s="139">
        <f>+N15</f>
        <v/>
      </c>
      <c r="O16" s="139">
        <f>+O15</f>
        <v/>
      </c>
      <c r="P16" s="139">
        <f>+P15</f>
        <v/>
      </c>
      <c r="Q16" s="139">
        <f>+Q15</f>
        <v/>
      </c>
      <c r="R16" s="139">
        <f>+R15</f>
        <v/>
      </c>
      <c r="S16" s="139">
        <f>+S15</f>
        <v/>
      </c>
      <c r="T16" s="139">
        <f>+T15</f>
        <v/>
      </c>
      <c r="U16" s="139">
        <f>+U15</f>
        <v/>
      </c>
      <c r="V16" s="139">
        <f>+V15</f>
        <v/>
      </c>
      <c r="W16" s="139">
        <f>+W15</f>
        <v/>
      </c>
      <c r="X16" s="139">
        <f>+X15</f>
        <v/>
      </c>
      <c r="Y16" s="139">
        <f>+Y15</f>
        <v/>
      </c>
      <c r="Z16" s="139">
        <f>+Z15</f>
        <v/>
      </c>
      <c r="AA16" s="139">
        <f>+AA15</f>
        <v/>
      </c>
      <c r="AB16" s="139">
        <f>+AB15</f>
        <v/>
      </c>
      <c r="AC16" s="139">
        <f>+AC15</f>
        <v/>
      </c>
      <c r="AD16" s="139">
        <f>+AD15</f>
        <v/>
      </c>
      <c r="AE16" s="139">
        <f>+AE15</f>
        <v/>
      </c>
      <c r="AF16" s="139">
        <f>+AF15</f>
        <v/>
      </c>
      <c r="AG16" s="139">
        <f>+AG15</f>
        <v/>
      </c>
      <c r="AH16" s="139">
        <f>+AH15</f>
        <v/>
      </c>
      <c r="AI16" s="139">
        <f>+AI15</f>
        <v/>
      </c>
      <c r="AJ16" s="139">
        <f>+AJ15</f>
        <v/>
      </c>
      <c r="AK16" s="139">
        <f>+AK15</f>
        <v/>
      </c>
      <c r="AL16" s="140" t="n"/>
      <c r="AN16" s="21" t="n"/>
      <c r="AO16" s="20" t="n"/>
    </row>
    <row r="17" ht="56.25" customFormat="1" customHeight="1" s="11">
      <c r="A17" s="134" t="n"/>
      <c r="B17" s="141" t="inlineStr">
        <is>
          <t>PO 注文書</t>
        </is>
      </c>
      <c r="C17" s="142" t="n"/>
      <c r="D17" s="142" t="n"/>
      <c r="E17" s="142" t="n"/>
      <c r="F17" s="143" t="n"/>
      <c r="G17" s="144" t="n"/>
      <c r="H17" s="145" t="n">
        <v>5000</v>
      </c>
      <c r="I17" s="144" t="n"/>
      <c r="J17" s="144" t="n"/>
      <c r="K17" s="144" t="n"/>
      <c r="L17" s="145" t="n"/>
      <c r="M17" s="144" t="n"/>
      <c r="N17" s="144" t="n"/>
      <c r="O17" s="145" t="n">
        <v>5000</v>
      </c>
      <c r="P17" s="144" t="n"/>
      <c r="Q17" s="144" t="n"/>
      <c r="R17" s="144" t="n"/>
      <c r="S17" s="144" t="n"/>
      <c r="T17" s="144" t="n"/>
      <c r="U17" s="144" t="n"/>
      <c r="V17" s="144" t="n"/>
      <c r="W17" s="144" t="n"/>
      <c r="X17" s="144" t="n"/>
      <c r="Y17" s="144" t="n"/>
      <c r="Z17" s="144" t="n"/>
      <c r="AA17" s="144" t="n"/>
      <c r="AB17" s="144" t="n"/>
      <c r="AC17" s="144" t="n"/>
      <c r="AD17" s="144" t="n"/>
      <c r="AE17" s="144" t="n"/>
      <c r="AF17" s="144" t="n"/>
      <c r="AG17" s="144" t="n"/>
      <c r="AH17" s="144" t="n"/>
      <c r="AI17" s="144" t="n"/>
      <c r="AJ17" s="144" t="n"/>
      <c r="AK17" s="145" t="n"/>
      <c r="AL17" s="146">
        <f>SUM(G17:AK17)</f>
        <v/>
      </c>
      <c r="AN17" s="147" t="inlineStr">
        <is>
          <t>Tồn PO
注文の 残量</t>
        </is>
      </c>
      <c r="AO17" s="148">
        <f>AO8+AL17-AO18</f>
        <v/>
      </c>
    </row>
    <row r="18" ht="56.25" customHeight="1" s="127">
      <c r="A18" s="134" t="n"/>
      <c r="B18" s="96" t="inlineStr">
        <is>
          <t xml:space="preserve">計画数量
kế hoạch </t>
        </is>
      </c>
      <c r="C18" s="149" t="n"/>
      <c r="D18" s="149" t="n"/>
      <c r="E18" s="149" t="n"/>
      <c r="F18" s="150" t="n"/>
      <c r="G18" s="144" t="n"/>
      <c r="H18" s="144" t="n">
        <v>1000</v>
      </c>
      <c r="I18" s="144" t="n">
        <v>1000</v>
      </c>
      <c r="J18" s="145" t="n">
        <v>1000</v>
      </c>
      <c r="K18" s="145" t="n">
        <v>1000</v>
      </c>
      <c r="L18" s="145" t="n">
        <v>1000</v>
      </c>
      <c r="M18" s="145" t="n">
        <v>1000</v>
      </c>
      <c r="N18" s="145" t="n"/>
      <c r="O18" s="145" t="n">
        <v>1000</v>
      </c>
      <c r="P18" s="145" t="n">
        <v>1000</v>
      </c>
      <c r="Q18" s="145" t="n">
        <v>1000</v>
      </c>
      <c r="R18" s="145" t="n">
        <v>1000</v>
      </c>
      <c r="S18" s="145" t="n">
        <v>1000</v>
      </c>
      <c r="T18" s="145" t="n">
        <v>705</v>
      </c>
      <c r="U18" s="145" t="n"/>
      <c r="V18" s="145" t="n"/>
      <c r="W18" s="145" t="n"/>
      <c r="X18" s="145" t="n"/>
      <c r="Y18" s="145" t="n"/>
      <c r="Z18" s="145" t="n"/>
      <c r="AA18" s="145" t="n"/>
      <c r="AB18" s="145" t="n"/>
      <c r="AC18" s="145" t="n"/>
      <c r="AD18" s="145" t="n"/>
      <c r="AE18" s="145" t="n"/>
      <c r="AF18" s="145" t="n"/>
      <c r="AG18" s="145" t="n">
        <v>1000</v>
      </c>
      <c r="AH18" s="145" t="n">
        <v>1000</v>
      </c>
      <c r="AI18" s="145" t="n"/>
      <c r="AJ18" s="145" t="n"/>
      <c r="AK18" s="145" t="n"/>
      <c r="AL18" s="151">
        <f>SUM(G18:AK18)</f>
        <v/>
      </c>
      <c r="AM18" s="0" t="n"/>
      <c r="AN18" s="24" t="inlineStr">
        <is>
          <t>Tổng nhập 総入荷数量
（A)-(B)+(C)</t>
        </is>
      </c>
      <c r="AO18" s="152">
        <f>AL19-AL20+AL21</f>
        <v/>
      </c>
    </row>
    <row r="19" ht="56.25" customHeight="1" s="127">
      <c r="A19" s="134" t="n"/>
      <c r="B19" s="96" t="inlineStr">
        <is>
          <t>実際の納品数量
số lượng thực nhập</t>
        </is>
      </c>
      <c r="C19" s="149" t="n"/>
      <c r="D19" s="149" t="n"/>
      <c r="E19" s="149" t="n"/>
      <c r="F19" s="150" t="n"/>
      <c r="G19" s="153" t="n"/>
      <c r="H19" s="153" t="n">
        <v>1200</v>
      </c>
      <c r="I19" s="154" t="n">
        <v>1350</v>
      </c>
      <c r="J19" s="155" t="n">
        <v>1800</v>
      </c>
      <c r="K19" s="156" t="n">
        <v>1200</v>
      </c>
      <c r="L19" s="156" t="n">
        <v>1320</v>
      </c>
      <c r="M19" s="155" t="n">
        <v>1200</v>
      </c>
      <c r="N19" s="155" t="n"/>
      <c r="O19" s="155" t="n">
        <v>1200</v>
      </c>
      <c r="P19" s="155" t="n">
        <v>1200</v>
      </c>
      <c r="Q19" s="156" t="n">
        <v>1200</v>
      </c>
      <c r="R19" s="156" t="n"/>
      <c r="S19" s="156" t="n"/>
      <c r="T19" s="156" t="n"/>
      <c r="U19" s="156" t="n"/>
      <c r="V19" s="156" t="n"/>
      <c r="W19" s="156" t="n"/>
      <c r="X19" s="156" t="n"/>
      <c r="Y19" s="156" t="n"/>
      <c r="Z19" s="156" t="n"/>
      <c r="AA19" s="156" t="n"/>
      <c r="AB19" s="156" t="n"/>
      <c r="AC19" s="155" t="n"/>
      <c r="AD19" s="155" t="n"/>
      <c r="AE19" s="156" t="n"/>
      <c r="AF19" s="156" t="n"/>
      <c r="AG19" s="155" t="n">
        <v>1200</v>
      </c>
      <c r="AH19" s="155" t="n">
        <v>1200</v>
      </c>
      <c r="AI19" s="156" t="n"/>
      <c r="AJ19" s="156" t="n"/>
      <c r="AK19" s="156" t="n"/>
      <c r="AL19" s="157">
        <f>SUM(G19:AK19)</f>
        <v/>
      </c>
      <c r="AM19" s="6" t="inlineStr">
        <is>
          <t>(A)</t>
        </is>
      </c>
      <c r="AN19" s="24" t="inlineStr">
        <is>
          <t>Số lượng chưa khai tháng trước 先月まだ税関に申告されていない数量</t>
        </is>
      </c>
      <c r="AO19" s="148">
        <f>AO12</f>
        <v/>
      </c>
    </row>
    <row r="20" ht="56.25" customHeight="1" s="127">
      <c r="A20" s="134" t="n"/>
      <c r="B20" s="96" t="inlineStr">
        <is>
          <t>NG数量（DO SUNG 社変更済）
số lượng NG (Trả hàng DO SUNG)</t>
        </is>
      </c>
      <c r="C20" s="149" t="n"/>
      <c r="D20" s="149" t="n"/>
      <c r="E20" s="149" t="n"/>
      <c r="F20" s="150" t="n"/>
      <c r="G20" s="144" t="n"/>
      <c r="H20" s="144" t="n"/>
      <c r="I20" s="144">
        <f>14+101</f>
        <v/>
      </c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5" t="n"/>
      <c r="AF20" s="145" t="n"/>
      <c r="AG20" s="145" t="n"/>
      <c r="AH20" s="145" t="n"/>
      <c r="AI20" s="145" t="n"/>
      <c r="AJ20" s="145" t="n"/>
      <c r="AK20" s="145" t="n"/>
      <c r="AL20" s="158">
        <f>SUM(G20:AK20)</f>
        <v/>
      </c>
      <c r="AM20" s="6" t="inlineStr">
        <is>
          <t>(B)</t>
        </is>
      </c>
      <c r="AN20" s="24" t="inlineStr">
        <is>
          <t>Số lượng đã khai tháng này 今月税関に申告された数量</t>
        </is>
      </c>
      <c r="AO20" s="26" t="n">
        <v>12955</v>
      </c>
    </row>
    <row r="21" ht="56.25" customHeight="1" s="127" thickBot="1">
      <c r="A21" s="159" t="n"/>
      <c r="B21" s="98" t="inlineStr">
        <is>
          <t>NG数量（DO SUNG　社しゅり済）
số lượng NG (DO SUNG đã sửa )</t>
        </is>
      </c>
      <c r="C21" s="160" t="n"/>
      <c r="D21" s="160" t="n"/>
      <c r="E21" s="160" t="n"/>
      <c r="F21" s="161" t="n"/>
      <c r="G21" s="162" t="n"/>
      <c r="H21" s="162" t="n"/>
      <c r="I21" s="163" t="n"/>
      <c r="J21" s="164" t="n"/>
      <c r="K21" s="165" t="n"/>
      <c r="L21" s="164" t="n"/>
      <c r="M21" s="164" t="n"/>
      <c r="N21" s="164" t="n"/>
      <c r="O21" s="164" t="n"/>
      <c r="P21" s="164" t="n"/>
      <c r="Q21" s="164" t="n"/>
      <c r="R21" s="165" t="n"/>
      <c r="S21" s="164" t="n"/>
      <c r="T21" s="164" t="n"/>
      <c r="U21" s="164" t="n"/>
      <c r="V21" s="164" t="n"/>
      <c r="W21" s="164" t="n"/>
      <c r="X21" s="164" t="n"/>
      <c r="Y21" s="165" t="n"/>
      <c r="Z21" s="164" t="n"/>
      <c r="AA21" s="164" t="n"/>
      <c r="AB21" s="164" t="n"/>
      <c r="AC21" s="164" t="n"/>
      <c r="AD21" s="164" t="n"/>
      <c r="AE21" s="165" t="n"/>
      <c r="AF21" s="165" t="n"/>
      <c r="AG21" s="164" t="n"/>
      <c r="AH21" s="164" t="n"/>
      <c r="AI21" s="164" t="n"/>
      <c r="AJ21" s="165" t="n"/>
      <c r="AK21" s="165" t="n"/>
      <c r="AL21" s="166">
        <f>SUM(G21:AK21)</f>
        <v/>
      </c>
      <c r="AM21" s="6" t="inlineStr">
        <is>
          <t>(C)</t>
        </is>
      </c>
      <c r="AN21" s="24" t="inlineStr">
        <is>
          <t>Số lượng còn lại chưa khai 残りの数量はまだ税関に申告されていません</t>
        </is>
      </c>
      <c r="AO21" s="148">
        <f>AO19+AO18-AO20</f>
        <v/>
      </c>
    </row>
    <row r="23" ht="21" customHeight="1" s="127" thickBot="1">
      <c r="B23" s="85" t="n">
        <v>2026</v>
      </c>
      <c r="D23" s="85" t="inlineStr">
        <is>
          <t>年</t>
        </is>
      </c>
      <c r="E23" s="85" t="n">
        <v>3</v>
      </c>
      <c r="F23" s="29" t="inlineStr">
        <is>
          <t>月</t>
        </is>
      </c>
      <c r="G23" s="8" t="n"/>
      <c r="H23" s="3" t="n"/>
      <c r="I23" s="3" t="n"/>
      <c r="J23" s="5" t="n"/>
      <c r="K23" s="5" t="n"/>
      <c r="L23" s="5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7" t="n"/>
    </row>
    <row r="24" ht="20.25" customFormat="1" customHeight="1" s="11">
      <c r="A24" s="128" t="inlineStr">
        <is>
          <t>JOINTER
PAR-011</t>
        </is>
      </c>
      <c r="B24" s="89" t="inlineStr">
        <is>
          <t>輸送</t>
        </is>
      </c>
      <c r="C24" s="129" t="n"/>
      <c r="D24" s="90" t="inlineStr">
        <is>
          <t>日</t>
        </is>
      </c>
      <c r="E24" s="130" t="n"/>
      <c r="F24" s="131" t="n"/>
      <c r="G24" s="132">
        <f>DATE(B23,E23,1)</f>
        <v/>
      </c>
      <c r="H24" s="132">
        <f>IF(G24="","",IF(DAY(G24+1)=1,"",G24+1))</f>
        <v/>
      </c>
      <c r="I24" s="132">
        <f>IF(H24="","",IF(DAY(H24+1)=1,"",H24+1))</f>
        <v/>
      </c>
      <c r="J24" s="132">
        <f>IF(I24="","",IF(DAY(I24+1)=1,"",I24+1))</f>
        <v/>
      </c>
      <c r="K24" s="132">
        <f>IF(J24="","",IF(DAY(J24+1)=1,"",J24+1))</f>
        <v/>
      </c>
      <c r="L24" s="132">
        <f>IF(K24="","",IF(DAY(K24+1)=1,"",K24+1))</f>
        <v/>
      </c>
      <c r="M24" s="132">
        <f>IF(L24="","",IF(DAY(L24+1)=1,"",L24+1))</f>
        <v/>
      </c>
      <c r="N24" s="132">
        <f>IF(M24="","",IF(DAY(M24+1)=1,"",M24+1))</f>
        <v/>
      </c>
      <c r="O24" s="132">
        <f>IF(N24="","",IF(DAY(N24+1)=1,"",N24+1))</f>
        <v/>
      </c>
      <c r="P24" s="132">
        <f>IF(O24="","",IF(DAY(O24+1)=1,"",O24+1))</f>
        <v/>
      </c>
      <c r="Q24" s="132">
        <f>IF(P24="","",IF(DAY(P24+1)=1,"",P24+1))</f>
        <v/>
      </c>
      <c r="R24" s="132">
        <f>IF(Q24="","",IF(DAY(Q24+1)=1,"",Q24+1))</f>
        <v/>
      </c>
      <c r="S24" s="132">
        <f>IF(R24="","",IF(DAY(R24+1)=1,"",R24+1))</f>
        <v/>
      </c>
      <c r="T24" s="132">
        <f>IF(S24="","",IF(DAY(S24+1)=1,"",S24+1))</f>
        <v/>
      </c>
      <c r="U24" s="132">
        <f>IF(T24="","",IF(DAY(T24+1)=1,"",T24+1))</f>
        <v/>
      </c>
      <c r="V24" s="132">
        <f>IF(U24="","",IF(DAY(U24+1)=1,"",U24+1))</f>
        <v/>
      </c>
      <c r="W24" s="132">
        <f>IF(V24="","",IF(DAY(V24+1)=1,"",V24+1))</f>
        <v/>
      </c>
      <c r="X24" s="132">
        <f>IF(W24="","",IF(DAY(W24+1)=1,"",W24+1))</f>
        <v/>
      </c>
      <c r="Y24" s="132">
        <f>IF(X24="","",IF(DAY(X24+1)=1,"",X24+1))</f>
        <v/>
      </c>
      <c r="Z24" s="132">
        <f>IF(Y24="","",IF(DAY(Y24+1)=1,"",Y24+1))</f>
        <v/>
      </c>
      <c r="AA24" s="132">
        <f>IF(Z24="","",IF(DAY(Z24+1)=1,"",Z24+1))</f>
        <v/>
      </c>
      <c r="AB24" s="132">
        <f>IF(AA24="","",IF(DAY(AA24+1)=1,"",AA24+1))</f>
        <v/>
      </c>
      <c r="AC24" s="132">
        <f>IF(AB24="","",IF(DAY(AB24+1)=1,"",AB24+1))</f>
        <v/>
      </c>
      <c r="AD24" s="132">
        <f>IF(AC24="","",IF(DAY(AC24+1)=1,"",AC24+1))</f>
        <v/>
      </c>
      <c r="AE24" s="132">
        <f>IF(AD24="","",IF(DAY(AD24+1)=1,"",AD24+1))</f>
        <v/>
      </c>
      <c r="AF24" s="132">
        <f>IF(AE24="","",IF(DAY(AE24+1)=1,"",AE24+1))</f>
        <v/>
      </c>
      <c r="AG24" s="132">
        <f>IF(AF24="","",IF(DAY(AF24+1)=1,"",AF24+1))</f>
        <v/>
      </c>
      <c r="AH24" s="132">
        <f>IF(AG24="","",IF(DAY(AG24+1)=1,"",AG24+1))</f>
        <v/>
      </c>
      <c r="AI24" s="132">
        <f>IF(AH24="","",IF(DAY(AH24+1)=1,"",AH24+1))</f>
        <v/>
      </c>
      <c r="AJ24" s="132">
        <f>IF(AI24="","",IF(DAY(AI24+1)=1,"",AI24+1))</f>
        <v/>
      </c>
      <c r="AK24" s="132">
        <f>IF(AJ24="","",IF(DAY(AJ24+1)=1,"",AJ24+1))</f>
        <v/>
      </c>
      <c r="AL24" s="133" t="inlineStr">
        <is>
          <t>Total</t>
        </is>
      </c>
      <c r="AM24" s="7" t="n"/>
      <c r="AN24" s="21" t="n"/>
      <c r="AO24" s="20" t="n"/>
    </row>
    <row r="25" ht="20.25" customFormat="1" customHeight="1" s="11">
      <c r="A25" s="134" t="n"/>
      <c r="B25" s="135" t="n"/>
      <c r="C25" s="136" t="n"/>
      <c r="D25" s="92" t="inlineStr">
        <is>
          <t>時間</t>
        </is>
      </c>
      <c r="E25" s="137" t="n"/>
      <c r="F25" s="138" t="n"/>
      <c r="G25" s="139">
        <f>+G24</f>
        <v/>
      </c>
      <c r="H25" s="139">
        <f>+H24</f>
        <v/>
      </c>
      <c r="I25" s="139">
        <f>+I24</f>
        <v/>
      </c>
      <c r="J25" s="139">
        <f>+J24</f>
        <v/>
      </c>
      <c r="K25" s="139">
        <f>+K24</f>
        <v/>
      </c>
      <c r="L25" s="139">
        <f>+L24</f>
        <v/>
      </c>
      <c r="M25" s="139">
        <f>+M24</f>
        <v/>
      </c>
      <c r="N25" s="139">
        <f>+N24</f>
        <v/>
      </c>
      <c r="O25" s="139">
        <f>+O24</f>
        <v/>
      </c>
      <c r="P25" s="139">
        <f>+P24</f>
        <v/>
      </c>
      <c r="Q25" s="139">
        <f>+Q24</f>
        <v/>
      </c>
      <c r="R25" s="139">
        <f>+R24</f>
        <v/>
      </c>
      <c r="S25" s="139">
        <f>+S24</f>
        <v/>
      </c>
      <c r="T25" s="139">
        <f>+T24</f>
        <v/>
      </c>
      <c r="U25" s="139">
        <f>+U24</f>
        <v/>
      </c>
      <c r="V25" s="139">
        <f>+V24</f>
        <v/>
      </c>
      <c r="W25" s="139">
        <f>+W24</f>
        <v/>
      </c>
      <c r="X25" s="139">
        <f>+X24</f>
        <v/>
      </c>
      <c r="Y25" s="139">
        <f>+Y24</f>
        <v/>
      </c>
      <c r="Z25" s="139">
        <f>+Z24</f>
        <v/>
      </c>
      <c r="AA25" s="139">
        <f>+AA24</f>
        <v/>
      </c>
      <c r="AB25" s="139">
        <f>+AB24</f>
        <v/>
      </c>
      <c r="AC25" s="139">
        <f>+AC24</f>
        <v/>
      </c>
      <c r="AD25" s="139">
        <f>+AD24</f>
        <v/>
      </c>
      <c r="AE25" s="139">
        <f>+AE24</f>
        <v/>
      </c>
      <c r="AF25" s="139">
        <f>+AF24</f>
        <v/>
      </c>
      <c r="AG25" s="139">
        <f>+AG24</f>
        <v/>
      </c>
      <c r="AH25" s="139">
        <f>+AH24</f>
        <v/>
      </c>
      <c r="AI25" s="139">
        <f>+AI24</f>
        <v/>
      </c>
      <c r="AJ25" s="139">
        <f>+AJ24</f>
        <v/>
      </c>
      <c r="AK25" s="139">
        <f>+AK24</f>
        <v/>
      </c>
      <c r="AL25" s="140" t="n"/>
      <c r="AN25" s="21" t="n"/>
      <c r="AO25" s="20" t="n"/>
    </row>
    <row r="26" ht="56.25" customFormat="1" customHeight="1" s="11">
      <c r="A26" s="134" t="n"/>
      <c r="B26" s="141" t="inlineStr">
        <is>
          <t>PO 注文書</t>
        </is>
      </c>
      <c r="C26" s="142" t="n"/>
      <c r="D26" s="142" t="n"/>
      <c r="E26" s="142" t="n"/>
      <c r="F26" s="143" t="n"/>
      <c r="G26" s="144" t="n"/>
      <c r="H26" s="145" t="n">
        <v>5000</v>
      </c>
      <c r="I26" s="144" t="n"/>
      <c r="J26" s="144" t="n"/>
      <c r="K26" s="144" t="n"/>
      <c r="L26" s="145" t="n"/>
      <c r="M26" s="144" t="n"/>
      <c r="N26" s="144" t="n"/>
      <c r="O26" s="145" t="n">
        <v>5000</v>
      </c>
      <c r="P26" s="144" t="n"/>
      <c r="Q26" s="144" t="n"/>
      <c r="R26" s="144" t="n"/>
      <c r="S26" s="144" t="n"/>
      <c r="T26" s="144" t="n"/>
      <c r="U26" s="144" t="n"/>
      <c r="V26" s="145" t="n">
        <v>5000</v>
      </c>
      <c r="W26" s="144" t="n"/>
      <c r="X26" s="144" t="n"/>
      <c r="Y26" s="144" t="n"/>
      <c r="Z26" s="144" t="n"/>
      <c r="AA26" s="144" t="n"/>
      <c r="AB26" s="144" t="n"/>
      <c r="AC26" s="144" t="n">
        <v>6000</v>
      </c>
      <c r="AD26" s="144" t="n"/>
      <c r="AE26" s="144" t="n"/>
      <c r="AF26" s="144" t="n"/>
      <c r="AG26" s="144" t="n"/>
      <c r="AH26" s="144" t="n"/>
      <c r="AI26" s="144" t="n"/>
      <c r="AJ26" s="144" t="n">
        <v>6000</v>
      </c>
      <c r="AK26" s="145" t="n"/>
      <c r="AL26" s="146">
        <f>SUM(G26:AK26)</f>
        <v/>
      </c>
      <c r="AN26" s="147" t="inlineStr">
        <is>
          <t>Tồn PO
注文の 残量</t>
        </is>
      </c>
      <c r="AO26" s="148">
        <f>AO17+AL26-AO27</f>
        <v/>
      </c>
    </row>
    <row r="27" ht="56.25" customHeight="1" s="127">
      <c r="A27" s="134" t="n"/>
      <c r="B27" s="96" t="inlineStr">
        <is>
          <t xml:space="preserve">計画数量
kế hoạch </t>
        </is>
      </c>
      <c r="C27" s="149" t="n"/>
      <c r="D27" s="149" t="n"/>
      <c r="E27" s="149" t="n"/>
      <c r="F27" s="150" t="n"/>
      <c r="G27" s="144" t="n"/>
      <c r="H27" s="144" t="n">
        <v>1500</v>
      </c>
      <c r="I27" s="144" t="n">
        <v>1000</v>
      </c>
      <c r="J27" s="145" t="n">
        <v>1000</v>
      </c>
      <c r="K27" s="145" t="n">
        <v>1000</v>
      </c>
      <c r="L27" s="145" t="n">
        <v>1000</v>
      </c>
      <c r="M27" s="145" t="n"/>
      <c r="N27" s="145" t="n"/>
      <c r="O27" s="145" t="n">
        <v>1200</v>
      </c>
      <c r="P27" s="145" t="n">
        <v>1200</v>
      </c>
      <c r="Q27" s="145" t="n">
        <v>1200</v>
      </c>
      <c r="R27" s="145" t="n">
        <v>1200</v>
      </c>
      <c r="S27" s="145" t="n">
        <v>1200</v>
      </c>
      <c r="T27" s="145" t="n">
        <v>1200</v>
      </c>
      <c r="U27" s="145" t="n"/>
      <c r="V27" s="145" t="n">
        <v>1200</v>
      </c>
      <c r="W27" s="145" t="n">
        <v>1200</v>
      </c>
      <c r="X27" s="145" t="n">
        <v>1200</v>
      </c>
      <c r="Y27" s="145" t="n">
        <v>1200</v>
      </c>
      <c r="Z27" s="145" t="n">
        <v>1200</v>
      </c>
      <c r="AA27" s="145" t="n"/>
      <c r="AB27" s="145" t="n"/>
      <c r="AC27" s="145" t="n">
        <v>1200</v>
      </c>
      <c r="AD27" s="145" t="n">
        <v>1200</v>
      </c>
      <c r="AE27" s="145" t="n">
        <v>1200</v>
      </c>
      <c r="AF27" s="145" t="n">
        <v>1200</v>
      </c>
      <c r="AG27" s="145" t="n"/>
      <c r="AH27" s="145" t="n"/>
      <c r="AI27" s="145" t="n"/>
      <c r="AJ27" s="145" t="n"/>
      <c r="AK27" s="145" t="n"/>
      <c r="AL27" s="151">
        <f>SUM(G27:AK27)</f>
        <v/>
      </c>
      <c r="AM27" s="0" t="n"/>
      <c r="AN27" s="24" t="inlineStr">
        <is>
          <t>Tổng nhập 総入荷数量
（A)-(B)+(C)</t>
        </is>
      </c>
      <c r="AO27" s="152">
        <f>AL28-AL29+AL30</f>
        <v/>
      </c>
    </row>
    <row r="28" ht="56.25" customHeight="1" s="127">
      <c r="A28" s="134" t="n"/>
      <c r="B28" s="96" t="inlineStr">
        <is>
          <t>実際の納品数量
số lượng thực nhập</t>
        </is>
      </c>
      <c r="C28" s="149" t="n"/>
      <c r="D28" s="149" t="n"/>
      <c r="E28" s="149" t="n"/>
      <c r="F28" s="150" t="n"/>
      <c r="G28" s="153" t="n"/>
      <c r="H28" s="153" t="n">
        <v>1080</v>
      </c>
      <c r="I28" s="154" t="n">
        <v>1200</v>
      </c>
      <c r="J28" s="155" t="n">
        <v>1200</v>
      </c>
      <c r="K28" s="156" t="n">
        <v>1200</v>
      </c>
      <c r="L28" s="156" t="n">
        <v>1200</v>
      </c>
      <c r="M28" s="155" t="n"/>
      <c r="N28" s="155" t="n"/>
      <c r="O28" s="155" t="n">
        <v>1950</v>
      </c>
      <c r="P28" s="155" t="n">
        <v>1200</v>
      </c>
      <c r="Q28" s="156" t="n">
        <v>1200</v>
      </c>
      <c r="R28" s="156" t="n">
        <v>1200</v>
      </c>
      <c r="S28" s="156" t="n">
        <v>1200</v>
      </c>
      <c r="T28" s="156" t="n">
        <v>1200</v>
      </c>
      <c r="U28" s="156" t="n"/>
      <c r="V28" s="156" t="n"/>
      <c r="W28" s="156" t="n">
        <v>960</v>
      </c>
      <c r="X28" s="156" t="n">
        <v>1200</v>
      </c>
      <c r="Y28" s="156" t="n"/>
      <c r="Z28" s="156" t="n">
        <v>1200</v>
      </c>
      <c r="AA28" s="156" t="n">
        <v>1200</v>
      </c>
      <c r="AB28" s="156" t="n"/>
      <c r="AC28" s="155" t="n">
        <v>2400</v>
      </c>
      <c r="AD28" s="155" t="n">
        <v>1200</v>
      </c>
      <c r="AE28" s="156" t="n">
        <v>1200</v>
      </c>
      <c r="AF28" s="156" t="n">
        <v>1200</v>
      </c>
      <c r="AG28" s="155" t="n">
        <v>1200</v>
      </c>
      <c r="AH28" s="155" t="n">
        <v>1200</v>
      </c>
      <c r="AI28" s="156" t="n"/>
      <c r="AJ28" s="156" t="n"/>
      <c r="AK28" s="156" t="n"/>
      <c r="AL28" s="157">
        <f>SUM(G28:AK28)</f>
        <v/>
      </c>
      <c r="AM28" s="6" t="inlineStr">
        <is>
          <t>(A)</t>
        </is>
      </c>
      <c r="AN28" s="24" t="inlineStr">
        <is>
          <t>Số lượng chưa khai tháng trước 先月まだ税関に申告されていない数量</t>
        </is>
      </c>
      <c r="AO28" s="148">
        <f>AO21</f>
        <v/>
      </c>
    </row>
    <row r="29" ht="56.25" customHeight="1" s="127">
      <c r="A29" s="134" t="n"/>
      <c r="B29" s="96" t="inlineStr">
        <is>
          <t>NG数量（DO SUNG 社変更済）
số lượng NG (Trả hàng DO SUNG)</t>
        </is>
      </c>
      <c r="C29" s="149" t="n"/>
      <c r="D29" s="149" t="n"/>
      <c r="E29" s="149" t="n"/>
      <c r="F29" s="150" t="n"/>
      <c r="G29" s="144" t="n"/>
      <c r="H29" s="144" t="n"/>
      <c r="I29" s="144" t="n"/>
      <c r="J29" s="145" t="n"/>
      <c r="K29" s="145" t="n"/>
      <c r="L29" s="145" t="n"/>
      <c r="M29" s="145" t="n"/>
      <c r="N29" s="145" t="n"/>
      <c r="O29" s="145" t="n"/>
      <c r="P29" s="145" t="n"/>
      <c r="Q29" s="145" t="n"/>
      <c r="R29" s="145" t="n"/>
      <c r="S29" s="145" t="n"/>
      <c r="T29" s="145" t="n"/>
      <c r="U29" s="145" t="n"/>
      <c r="V29" s="145" t="n"/>
      <c r="W29" s="145" t="n"/>
      <c r="X29" s="145" t="n"/>
      <c r="Y29" s="145" t="n"/>
      <c r="Z29" s="145" t="n"/>
      <c r="AA29" s="145" t="n"/>
      <c r="AB29" s="145" t="n"/>
      <c r="AC29" s="145" t="n"/>
      <c r="AD29" s="145" t="n"/>
      <c r="AE29" s="145" t="n"/>
      <c r="AF29" s="145" t="n"/>
      <c r="AG29" s="145" t="n"/>
      <c r="AH29" s="145" t="n"/>
      <c r="AI29" s="145" t="n"/>
      <c r="AJ29" s="145" t="n"/>
      <c r="AK29" s="145" t="n"/>
      <c r="AL29" s="158">
        <f>SUM(G29:AK29)</f>
        <v/>
      </c>
      <c r="AM29" s="6" t="inlineStr">
        <is>
          <t>(B)</t>
        </is>
      </c>
      <c r="AN29" s="24" t="inlineStr">
        <is>
          <t>Số lượng đã khai tháng này 今月税関に申告された数量</t>
        </is>
      </c>
      <c r="AO29" s="26">
        <f>7700+14330+6960</f>
        <v/>
      </c>
    </row>
    <row r="30" ht="56.25" customHeight="1" s="127" thickBot="1">
      <c r="A30" s="159" t="n"/>
      <c r="B30" s="98" t="inlineStr">
        <is>
          <t>NG数量（DO SUNG　社しゅり済）
số lượng NG (DO SUNG đã sửa )</t>
        </is>
      </c>
      <c r="C30" s="160" t="n"/>
      <c r="D30" s="160" t="n"/>
      <c r="E30" s="160" t="n"/>
      <c r="F30" s="161" t="n"/>
      <c r="G30" s="162" t="n"/>
      <c r="H30" s="162" t="n"/>
      <c r="I30" s="163" t="n"/>
      <c r="J30" s="164" t="n"/>
      <c r="K30" s="165" t="n"/>
      <c r="L30" s="164" t="n"/>
      <c r="M30" s="164" t="n"/>
      <c r="N30" s="164" t="n"/>
      <c r="O30" s="164" t="n"/>
      <c r="P30" s="164" t="n"/>
      <c r="Q30" s="164" t="n"/>
      <c r="R30" s="165" t="n"/>
      <c r="S30" s="164" t="n"/>
      <c r="T30" s="164" t="n"/>
      <c r="U30" s="164" t="n"/>
      <c r="V30" s="164" t="n"/>
      <c r="W30" s="164" t="n"/>
      <c r="X30" s="164" t="n"/>
      <c r="Y30" s="165" t="n"/>
      <c r="Z30" s="164" t="n"/>
      <c r="AA30" s="164" t="n"/>
      <c r="AB30" s="164" t="n"/>
      <c r="AC30" s="164" t="n"/>
      <c r="AD30" s="164" t="n"/>
      <c r="AE30" s="165" t="n"/>
      <c r="AF30" s="165" t="n"/>
      <c r="AG30" s="164" t="n"/>
      <c r="AH30" s="164" t="n"/>
      <c r="AI30" s="164" t="n"/>
      <c r="AJ30" s="165" t="n"/>
      <c r="AK30" s="165" t="n"/>
      <c r="AL30" s="166">
        <f>SUM(G30:AK30)</f>
        <v/>
      </c>
      <c r="AM30" s="6" t="inlineStr">
        <is>
          <t>(C)</t>
        </is>
      </c>
      <c r="AN30" s="24" t="inlineStr">
        <is>
          <t>Số lượng còn lại chưa khai 残りの数量はまだ税関に申告されていません</t>
        </is>
      </c>
      <c r="AO30" s="148">
        <f>AO28+AO27-AO29</f>
        <v/>
      </c>
    </row>
    <row r="32" ht="21" customHeight="1" s="127" thickBot="1">
      <c r="B32" s="85" t="n">
        <v>2026</v>
      </c>
      <c r="D32" s="85" t="inlineStr">
        <is>
          <t>年</t>
        </is>
      </c>
      <c r="E32" s="85" t="n">
        <v>4</v>
      </c>
      <c r="F32" s="29" t="inlineStr">
        <is>
          <t>月</t>
        </is>
      </c>
      <c r="G32" s="8" t="n"/>
      <c r="H32" s="3" t="n"/>
      <c r="I32" s="3" t="n"/>
      <c r="J32" s="5" t="n"/>
      <c r="K32" s="5" t="n"/>
      <c r="L32" s="5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7" t="n"/>
    </row>
    <row r="33" ht="20.25" customFormat="1" customHeight="1" s="11">
      <c r="A33" s="128" t="inlineStr">
        <is>
          <t>JOINTER
PAR-011</t>
        </is>
      </c>
      <c r="B33" s="89" t="inlineStr">
        <is>
          <t>輸送</t>
        </is>
      </c>
      <c r="C33" s="129" t="n"/>
      <c r="D33" s="90" t="inlineStr">
        <is>
          <t>日</t>
        </is>
      </c>
      <c r="E33" s="130" t="n"/>
      <c r="F33" s="131" t="n"/>
      <c r="G33" s="132">
        <f>DATE(B32,E32,1)</f>
        <v/>
      </c>
      <c r="H33" s="132">
        <f>IF(G33="","",IF(DAY(G33+1)=1,"",G33+1))</f>
        <v/>
      </c>
      <c r="I33" s="132">
        <f>IF(H33="","",IF(DAY(H33+1)=1,"",H33+1))</f>
        <v/>
      </c>
      <c r="J33" s="132">
        <f>IF(I33="","",IF(DAY(I33+1)=1,"",I33+1))</f>
        <v/>
      </c>
      <c r="K33" s="132">
        <f>IF(J33="","",IF(DAY(J33+1)=1,"",J33+1))</f>
        <v/>
      </c>
      <c r="L33" s="132">
        <f>IF(K33="","",IF(DAY(K33+1)=1,"",K33+1))</f>
        <v/>
      </c>
      <c r="M33" s="132">
        <f>IF(L33="","",IF(DAY(L33+1)=1,"",L33+1))</f>
        <v/>
      </c>
      <c r="N33" s="132">
        <f>IF(M33="","",IF(DAY(M33+1)=1,"",M33+1))</f>
        <v/>
      </c>
      <c r="O33" s="132">
        <f>IF(N33="","",IF(DAY(N33+1)=1,"",N33+1))</f>
        <v/>
      </c>
      <c r="P33" s="132">
        <f>IF(O33="","",IF(DAY(O33+1)=1,"",O33+1))</f>
        <v/>
      </c>
      <c r="Q33" s="132">
        <f>IF(P33="","",IF(DAY(P33+1)=1,"",P33+1))</f>
        <v/>
      </c>
      <c r="R33" s="132">
        <f>IF(Q33="","",IF(DAY(Q33+1)=1,"",Q33+1))</f>
        <v/>
      </c>
      <c r="S33" s="132">
        <f>IF(R33="","",IF(DAY(R33+1)=1,"",R33+1))</f>
        <v/>
      </c>
      <c r="T33" s="132">
        <f>IF(S33="","",IF(DAY(S33+1)=1,"",S33+1))</f>
        <v/>
      </c>
      <c r="U33" s="132">
        <f>IF(T33="","",IF(DAY(T33+1)=1,"",T33+1))</f>
        <v/>
      </c>
      <c r="V33" s="132">
        <f>IF(U33="","",IF(DAY(U33+1)=1,"",U33+1))</f>
        <v/>
      </c>
      <c r="W33" s="132">
        <f>IF(V33="","",IF(DAY(V33+1)=1,"",V33+1))</f>
        <v/>
      </c>
      <c r="X33" s="132">
        <f>IF(W33="","",IF(DAY(W33+1)=1,"",W33+1))</f>
        <v/>
      </c>
      <c r="Y33" s="132">
        <f>IF(X33="","",IF(DAY(X33+1)=1,"",X33+1))</f>
        <v/>
      </c>
      <c r="Z33" s="132">
        <f>IF(Y33="","",IF(DAY(Y33+1)=1,"",Y33+1))</f>
        <v/>
      </c>
      <c r="AA33" s="132">
        <f>IF(Z33="","",IF(DAY(Z33+1)=1,"",Z33+1))</f>
        <v/>
      </c>
      <c r="AB33" s="132">
        <f>IF(AA33="","",IF(DAY(AA33+1)=1,"",AA33+1))</f>
        <v/>
      </c>
      <c r="AC33" s="132">
        <f>IF(AB33="","",IF(DAY(AB33+1)=1,"",AB33+1))</f>
        <v/>
      </c>
      <c r="AD33" s="132">
        <f>IF(AC33="","",IF(DAY(AC33+1)=1,"",AC33+1))</f>
        <v/>
      </c>
      <c r="AE33" s="132">
        <f>IF(AD33="","",IF(DAY(AD33+1)=1,"",AD33+1))</f>
        <v/>
      </c>
      <c r="AF33" s="132">
        <f>IF(AE33="","",IF(DAY(AE33+1)=1,"",AE33+1))</f>
        <v/>
      </c>
      <c r="AG33" s="132">
        <f>IF(AF33="","",IF(DAY(AF33+1)=1,"",AF33+1))</f>
        <v/>
      </c>
      <c r="AH33" s="132">
        <f>IF(AG33="","",IF(DAY(AG33+1)=1,"",AG33+1))</f>
        <v/>
      </c>
      <c r="AI33" s="132">
        <f>IF(AH33="","",IF(DAY(AH33+1)=1,"",AH33+1))</f>
        <v/>
      </c>
      <c r="AJ33" s="132">
        <f>IF(AI33="","",IF(DAY(AI33+1)=1,"",AI33+1))</f>
        <v/>
      </c>
      <c r="AK33" s="132">
        <f>IF(AJ33="","",IF(DAY(AJ33+1)=1,"",AJ33+1))</f>
        <v/>
      </c>
      <c r="AL33" s="133" t="inlineStr">
        <is>
          <t>Total</t>
        </is>
      </c>
      <c r="AM33" s="7" t="n"/>
      <c r="AN33" s="21" t="n"/>
      <c r="AO33" s="20" t="n"/>
    </row>
    <row r="34" ht="20.25" customFormat="1" customHeight="1" s="11">
      <c r="A34" s="134" t="n"/>
      <c r="B34" s="135" t="n"/>
      <c r="C34" s="136" t="n"/>
      <c r="D34" s="92" t="inlineStr">
        <is>
          <t>時間</t>
        </is>
      </c>
      <c r="E34" s="137" t="n"/>
      <c r="F34" s="138" t="n"/>
      <c r="G34" s="139">
        <f>+G33</f>
        <v/>
      </c>
      <c r="H34" s="139">
        <f>+H33</f>
        <v/>
      </c>
      <c r="I34" s="139">
        <f>+I33</f>
        <v/>
      </c>
      <c r="J34" s="139">
        <f>+J33</f>
        <v/>
      </c>
      <c r="K34" s="139">
        <f>+K33</f>
        <v/>
      </c>
      <c r="L34" s="139">
        <f>+L33</f>
        <v/>
      </c>
      <c r="M34" s="139">
        <f>+M33</f>
        <v/>
      </c>
      <c r="N34" s="139">
        <f>+N33</f>
        <v/>
      </c>
      <c r="O34" s="139">
        <f>+O33</f>
        <v/>
      </c>
      <c r="P34" s="139">
        <f>+P33</f>
        <v/>
      </c>
      <c r="Q34" s="139">
        <f>+Q33</f>
        <v/>
      </c>
      <c r="R34" s="139">
        <f>+R33</f>
        <v/>
      </c>
      <c r="S34" s="139">
        <f>+S33</f>
        <v/>
      </c>
      <c r="T34" s="139">
        <f>+T33</f>
        <v/>
      </c>
      <c r="U34" s="139">
        <f>+U33</f>
        <v/>
      </c>
      <c r="V34" s="139">
        <f>+V33</f>
        <v/>
      </c>
      <c r="W34" s="139">
        <f>+W33</f>
        <v/>
      </c>
      <c r="X34" s="139">
        <f>+X33</f>
        <v/>
      </c>
      <c r="Y34" s="139">
        <f>+Y33</f>
        <v/>
      </c>
      <c r="Z34" s="139">
        <f>+Z33</f>
        <v/>
      </c>
      <c r="AA34" s="139">
        <f>+AA33</f>
        <v/>
      </c>
      <c r="AB34" s="139">
        <f>+AB33</f>
        <v/>
      </c>
      <c r="AC34" s="139">
        <f>+AC33</f>
        <v/>
      </c>
      <c r="AD34" s="139">
        <f>+AD33</f>
        <v/>
      </c>
      <c r="AE34" s="139">
        <f>+AE33</f>
        <v/>
      </c>
      <c r="AF34" s="139">
        <f>+AF33</f>
        <v/>
      </c>
      <c r="AG34" s="139">
        <f>+AG33</f>
        <v/>
      </c>
      <c r="AH34" s="139">
        <f>+AH33</f>
        <v/>
      </c>
      <c r="AI34" s="139">
        <f>+AI33</f>
        <v/>
      </c>
      <c r="AJ34" s="139">
        <f>+AJ33</f>
        <v/>
      </c>
      <c r="AK34" s="139">
        <f>+AK33</f>
        <v/>
      </c>
      <c r="AL34" s="140" t="n"/>
      <c r="AN34" s="21" t="n"/>
      <c r="AO34" s="20" t="n"/>
    </row>
    <row r="35" ht="56.25" customFormat="1" customHeight="1" s="11">
      <c r="A35" s="134" t="n"/>
      <c r="B35" s="141" t="inlineStr">
        <is>
          <t>PO 注文書</t>
        </is>
      </c>
      <c r="C35" s="142" t="n"/>
      <c r="D35" s="142" t="n"/>
      <c r="E35" s="142" t="n"/>
      <c r="F35" s="143" t="n"/>
      <c r="G35" s="144" t="n"/>
      <c r="H35" s="145" t="n"/>
      <c r="I35" s="144" t="n"/>
      <c r="J35" s="144" t="n"/>
      <c r="K35" s="144" t="n"/>
      <c r="L35" s="144" t="n">
        <v>6000</v>
      </c>
      <c r="M35" s="144" t="n"/>
      <c r="N35" s="144" t="n"/>
      <c r="O35" s="145" t="n"/>
      <c r="P35" s="144" t="n"/>
      <c r="Q35" s="144" t="n"/>
      <c r="R35" s="144" t="n"/>
      <c r="S35" s="144" t="n">
        <v>6000</v>
      </c>
      <c r="T35" s="144" t="n"/>
      <c r="U35" s="144" t="n"/>
      <c r="V35" s="145" t="n"/>
      <c r="W35" s="144" t="n"/>
      <c r="X35" s="144" t="n"/>
      <c r="Y35" s="144" t="n"/>
      <c r="Z35" s="144" t="n">
        <v>6000</v>
      </c>
      <c r="AA35" s="144" t="n"/>
      <c r="AB35" s="144" t="n"/>
      <c r="AC35" s="144" t="n"/>
      <c r="AD35" s="144" t="n"/>
      <c r="AE35" s="144" t="n"/>
      <c r="AF35" s="144" t="n"/>
      <c r="AG35" s="144" t="n"/>
      <c r="AH35" s="144" t="n"/>
      <c r="AI35" s="144" t="n"/>
      <c r="AJ35" s="144" t="n"/>
      <c r="AK35" s="145" t="n"/>
      <c r="AL35" s="146">
        <f>SUM(G35:AK35)</f>
        <v/>
      </c>
      <c r="AN35" s="147" t="inlineStr">
        <is>
          <t>Tồn PO
注文の 残量</t>
        </is>
      </c>
      <c r="AO35" s="148">
        <f>AO26+AL35-AO36</f>
        <v/>
      </c>
      <c r="AP35" s="169" t="n"/>
    </row>
    <row r="36" ht="56.25" customHeight="1" s="127">
      <c r="A36" s="134" t="n"/>
      <c r="B36" s="96" t="inlineStr">
        <is>
          <t xml:space="preserve">計画数量
kế hoạch </t>
        </is>
      </c>
      <c r="C36" s="149" t="n"/>
      <c r="D36" s="149" t="n"/>
      <c r="E36" s="149" t="n"/>
      <c r="F36" s="150" t="n"/>
      <c r="G36" s="144" t="n">
        <v>1200</v>
      </c>
      <c r="H36" s="144" t="n">
        <v>1200</v>
      </c>
      <c r="I36" s="144" t="n">
        <v>1200</v>
      </c>
      <c r="J36" s="144" t="n">
        <v>1200</v>
      </c>
      <c r="K36" s="144" t="n"/>
      <c r="L36" s="144" t="n">
        <v>1200</v>
      </c>
      <c r="M36" s="144" t="n">
        <v>1200</v>
      </c>
      <c r="N36" s="144" t="n">
        <v>1200</v>
      </c>
      <c r="O36" s="144" t="n">
        <v>1200</v>
      </c>
      <c r="P36" s="144" t="n">
        <v>1200</v>
      </c>
      <c r="Q36" s="144" t="n">
        <v>1200</v>
      </c>
      <c r="R36" s="144" t="n"/>
      <c r="S36" s="144" t="n">
        <v>1200</v>
      </c>
      <c r="T36" s="144" t="n">
        <v>1200</v>
      </c>
      <c r="U36" s="144" t="n">
        <v>1200</v>
      </c>
      <c r="V36" s="144" t="n">
        <v>1200</v>
      </c>
      <c r="W36" s="144" t="n">
        <v>1200</v>
      </c>
      <c r="X36" s="144" t="n">
        <v>1200</v>
      </c>
      <c r="Y36" s="144" t="n"/>
      <c r="Z36" s="144" t="n">
        <v>1200</v>
      </c>
      <c r="AA36" s="144" t="n">
        <v>1200</v>
      </c>
      <c r="AB36" s="144" t="n">
        <v>1200</v>
      </c>
      <c r="AC36" s="144" t="n">
        <v>1200</v>
      </c>
      <c r="AD36" s="144" t="n">
        <v>1200</v>
      </c>
      <c r="AE36" s="144" t="n">
        <v>1200</v>
      </c>
      <c r="AF36" s="144" t="n"/>
      <c r="AG36" s="144" t="n">
        <v>1200</v>
      </c>
      <c r="AH36" s="144" t="n">
        <v>1200</v>
      </c>
      <c r="AI36" s="144" t="n">
        <v>1200</v>
      </c>
      <c r="AJ36" s="144" t="n"/>
      <c r="AK36" s="145" t="n"/>
      <c r="AL36" s="151">
        <f>SUM(G36:AK36)</f>
        <v/>
      </c>
      <c r="AM36" s="0" t="n"/>
      <c r="AN36" s="24" t="inlineStr">
        <is>
          <t>Tổng nhập 総入荷数量
（A)-(B)+(C)</t>
        </is>
      </c>
      <c r="AO36" s="152">
        <f>AL37-AL38+AL39</f>
        <v/>
      </c>
    </row>
    <row r="37" ht="56.25" customHeight="1" s="127">
      <c r="A37" s="134" t="n"/>
      <c r="B37" s="96" t="inlineStr">
        <is>
          <t>実際の納品数量
số lượng thực nhập</t>
        </is>
      </c>
      <c r="C37" s="149" t="n"/>
      <c r="D37" s="149" t="n"/>
      <c r="E37" s="149" t="n"/>
      <c r="F37" s="150" t="n"/>
      <c r="G37" s="153" t="n">
        <v>2400</v>
      </c>
      <c r="H37" s="153" t="n">
        <v>1200</v>
      </c>
      <c r="I37" s="154" t="n">
        <v>1200</v>
      </c>
      <c r="J37" s="155" t="n">
        <v>1200</v>
      </c>
      <c r="K37" s="156" t="n"/>
      <c r="L37" s="156" t="n">
        <v>1200</v>
      </c>
      <c r="M37" s="155" t="n">
        <v>1200</v>
      </c>
      <c r="N37" s="155" t="n">
        <v>1200</v>
      </c>
      <c r="O37" s="155" t="n">
        <v>1200</v>
      </c>
      <c r="P37" s="155" t="n">
        <v>1200</v>
      </c>
      <c r="Q37" s="156" t="n"/>
      <c r="R37" s="156" t="n"/>
      <c r="S37" s="156" t="n">
        <v>2400</v>
      </c>
      <c r="T37" s="156" t="n">
        <v>1200</v>
      </c>
      <c r="U37" s="156" t="n">
        <v>1200</v>
      </c>
      <c r="V37" s="156" t="n">
        <v>1200</v>
      </c>
      <c r="W37" s="156" t="n">
        <v>1200</v>
      </c>
      <c r="X37" s="156" t="n">
        <v>1200</v>
      </c>
      <c r="Y37" s="156" t="n"/>
      <c r="Z37" s="156" t="n"/>
      <c r="AA37" s="156" t="n">
        <v>1200</v>
      </c>
      <c r="AB37" s="156" t="n"/>
      <c r="AC37" s="155" t="n">
        <v>2400</v>
      </c>
      <c r="AD37" s="155" t="n">
        <v>3600</v>
      </c>
      <c r="AE37" s="156" t="n"/>
      <c r="AF37" s="156" t="n"/>
      <c r="AG37" s="155" t="n"/>
      <c r="AH37" s="155" t="n">
        <v>3568</v>
      </c>
      <c r="AI37" s="156" t="n"/>
      <c r="AJ37" s="156" t="n"/>
      <c r="AK37" s="156" t="n"/>
      <c r="AL37" s="157">
        <f>SUM(G37:AK37)</f>
        <v/>
      </c>
      <c r="AM37" s="6" t="inlineStr">
        <is>
          <t>(A)</t>
        </is>
      </c>
      <c r="AN37" s="24" t="inlineStr">
        <is>
          <t>Số lượng chưa khai tháng trước 先月まだ税関に申告されていない数量</t>
        </is>
      </c>
      <c r="AO37" s="148">
        <f>AO30</f>
        <v/>
      </c>
    </row>
    <row r="38" ht="56.25" customHeight="1" s="127">
      <c r="A38" s="134" t="n"/>
      <c r="B38" s="96" t="inlineStr">
        <is>
          <t>NG数量（DO SUNG 社変更済）
số lượng NG (Trả hàng DO SUNG)</t>
        </is>
      </c>
      <c r="C38" s="149" t="n"/>
      <c r="D38" s="149" t="n"/>
      <c r="E38" s="149" t="n"/>
      <c r="F38" s="150" t="n"/>
      <c r="G38" s="144" t="n"/>
      <c r="H38" s="144" t="n"/>
      <c r="I38" s="144" t="n"/>
      <c r="J38" s="145" t="n"/>
      <c r="K38" s="145" t="n"/>
      <c r="L38" s="145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5" t="n"/>
      <c r="V38" s="145" t="n"/>
      <c r="W38" s="145" t="n"/>
      <c r="X38" s="145" t="n"/>
      <c r="Y38" s="145" t="n"/>
      <c r="Z38" s="145" t="n"/>
      <c r="AA38" s="145" t="n"/>
      <c r="AB38" s="145" t="n"/>
      <c r="AC38" s="145" t="n"/>
      <c r="AD38" s="145" t="n"/>
      <c r="AE38" s="145" t="n"/>
      <c r="AF38" s="145" t="n"/>
      <c r="AG38" s="145" t="n"/>
      <c r="AH38" s="145" t="n"/>
      <c r="AI38" s="145" t="n"/>
      <c r="AJ38" s="145" t="n"/>
      <c r="AK38" s="145" t="n"/>
      <c r="AL38" s="158">
        <f>SUM(G38:AK38)</f>
        <v/>
      </c>
      <c r="AM38" s="6" t="inlineStr">
        <is>
          <t>(B)</t>
        </is>
      </c>
      <c r="AN38" s="24" t="inlineStr">
        <is>
          <t>Số lượng đã khai tháng này 今月税関に申告された数量</t>
        </is>
      </c>
      <c r="AO38" s="26">
        <f>12000+8000+7400</f>
        <v/>
      </c>
    </row>
    <row r="39" ht="56.25" customHeight="1" s="127" thickBot="1">
      <c r="A39" s="159" t="n"/>
      <c r="B39" s="98" t="inlineStr">
        <is>
          <t>NG数量（DO SUNG　社しゅり済）
số lượng NG (DO SUNG đã sửa )</t>
        </is>
      </c>
      <c r="C39" s="160" t="n"/>
      <c r="D39" s="160" t="n"/>
      <c r="E39" s="160" t="n"/>
      <c r="F39" s="161" t="n"/>
      <c r="G39" s="162" t="n"/>
      <c r="H39" s="162" t="n"/>
      <c r="I39" s="163" t="n"/>
      <c r="J39" s="164" t="n"/>
      <c r="K39" s="165" t="n"/>
      <c r="L39" s="164" t="n"/>
      <c r="M39" s="164" t="n"/>
      <c r="N39" s="164" t="n"/>
      <c r="O39" s="164" t="n"/>
      <c r="P39" s="164" t="n"/>
      <c r="Q39" s="164" t="n"/>
      <c r="R39" s="165" t="n"/>
      <c r="S39" s="164" t="n"/>
      <c r="T39" s="164" t="n"/>
      <c r="U39" s="164" t="n"/>
      <c r="V39" s="164" t="n"/>
      <c r="W39" s="164" t="n"/>
      <c r="X39" s="164" t="n"/>
      <c r="Y39" s="165" t="n"/>
      <c r="Z39" s="164" t="n"/>
      <c r="AA39" s="164" t="n"/>
      <c r="AB39" s="164" t="n"/>
      <c r="AC39" s="164" t="n"/>
      <c r="AD39" s="164" t="n"/>
      <c r="AE39" s="165" t="n"/>
      <c r="AF39" s="165" t="n"/>
      <c r="AG39" s="164" t="n"/>
      <c r="AH39" s="164" t="n"/>
      <c r="AI39" s="164" t="n"/>
      <c r="AJ39" s="165" t="n"/>
      <c r="AK39" s="165" t="n"/>
      <c r="AL39" s="166">
        <f>SUM(G39:AK39)</f>
        <v/>
      </c>
      <c r="AM39" s="6" t="inlineStr">
        <is>
          <t>(C)</t>
        </is>
      </c>
      <c r="AN39" s="24" t="inlineStr">
        <is>
          <t>Số lượng còn lại chưa khai 残りの数量はまだ税関に申告されていません</t>
        </is>
      </c>
      <c r="AO39" s="148">
        <f>AO37+AO36-AO38</f>
        <v/>
      </c>
      <c r="AQ39" s="167" t="n"/>
    </row>
    <row r="41" ht="21" customHeight="1" s="127" thickBot="1">
      <c r="B41" s="85" t="n">
        <v>2026</v>
      </c>
      <c r="D41" s="85" t="inlineStr">
        <is>
          <t>年</t>
        </is>
      </c>
      <c r="E41" s="85" t="n">
        <v>5</v>
      </c>
      <c r="F41" s="29" t="inlineStr">
        <is>
          <t>月</t>
        </is>
      </c>
      <c r="G41" s="8" t="n"/>
      <c r="H41" s="3" t="n"/>
      <c r="I41" s="3" t="n"/>
      <c r="J41" s="5" t="n"/>
      <c r="K41" s="5" t="n"/>
      <c r="L41" s="5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7" t="n"/>
    </row>
    <row r="42" ht="20.25" customFormat="1" customHeight="1" s="11">
      <c r="A42" s="128" t="inlineStr">
        <is>
          <t>JOINTER
PAR-011</t>
        </is>
      </c>
      <c r="B42" s="89" t="inlineStr">
        <is>
          <t>輸送</t>
        </is>
      </c>
      <c r="C42" s="129" t="n"/>
      <c r="D42" s="90" t="inlineStr">
        <is>
          <t>日</t>
        </is>
      </c>
      <c r="E42" s="130" t="n"/>
      <c r="F42" s="131" t="n"/>
      <c r="G42" s="132">
        <f>DATE(B41,E41,1)</f>
        <v/>
      </c>
      <c r="H42" s="132">
        <f>IF(G42="","",IF(DAY(G42+1)=1,"",G42+1))</f>
        <v/>
      </c>
      <c r="I42" s="132">
        <f>IF(H42="","",IF(DAY(H42+1)=1,"",H42+1))</f>
        <v/>
      </c>
      <c r="J42" s="132">
        <f>IF(I42="","",IF(DAY(I42+1)=1,"",I42+1))</f>
        <v/>
      </c>
      <c r="K42" s="132">
        <f>IF(J42="","",IF(DAY(J42+1)=1,"",J42+1))</f>
        <v/>
      </c>
      <c r="L42" s="132">
        <f>IF(K42="","",IF(DAY(K42+1)=1,"",K42+1))</f>
        <v/>
      </c>
      <c r="M42" s="132">
        <f>IF(L42="","",IF(DAY(L42+1)=1,"",L42+1))</f>
        <v/>
      </c>
      <c r="N42" s="132">
        <f>IF(M42="","",IF(DAY(M42+1)=1,"",M42+1))</f>
        <v/>
      </c>
      <c r="O42" s="132">
        <f>IF(N42="","",IF(DAY(N42+1)=1,"",N42+1))</f>
        <v/>
      </c>
      <c r="P42" s="132">
        <f>IF(O42="","",IF(DAY(O42+1)=1,"",O42+1))</f>
        <v/>
      </c>
      <c r="Q42" s="132">
        <f>IF(P42="","",IF(DAY(P42+1)=1,"",P42+1))</f>
        <v/>
      </c>
      <c r="R42" s="132">
        <f>IF(Q42="","",IF(DAY(Q42+1)=1,"",Q42+1))</f>
        <v/>
      </c>
      <c r="S42" s="132">
        <f>IF(R42="","",IF(DAY(R42+1)=1,"",R42+1))</f>
        <v/>
      </c>
      <c r="T42" s="132">
        <f>IF(S42="","",IF(DAY(S42+1)=1,"",S42+1))</f>
        <v/>
      </c>
      <c r="U42" s="132">
        <f>IF(T42="","",IF(DAY(T42+1)=1,"",T42+1))</f>
        <v/>
      </c>
      <c r="V42" s="132">
        <f>IF(U42="","",IF(DAY(U42+1)=1,"",U42+1))</f>
        <v/>
      </c>
      <c r="W42" s="132">
        <f>IF(V42="","",IF(DAY(V42+1)=1,"",V42+1))</f>
        <v/>
      </c>
      <c r="X42" s="132">
        <f>IF(W42="","",IF(DAY(W42+1)=1,"",W42+1))</f>
        <v/>
      </c>
      <c r="Y42" s="132">
        <f>IF(X42="","",IF(DAY(X42+1)=1,"",X42+1))</f>
        <v/>
      </c>
      <c r="Z42" s="132">
        <f>IF(Y42="","",IF(DAY(Y42+1)=1,"",Y42+1))</f>
        <v/>
      </c>
      <c r="AA42" s="132">
        <f>IF(Z42="","",IF(DAY(Z42+1)=1,"",Z42+1))</f>
        <v/>
      </c>
      <c r="AB42" s="132">
        <f>IF(AA42="","",IF(DAY(AA42+1)=1,"",AA42+1))</f>
        <v/>
      </c>
      <c r="AC42" s="132">
        <f>IF(AB42="","",IF(DAY(AB42+1)=1,"",AB42+1))</f>
        <v/>
      </c>
      <c r="AD42" s="132">
        <f>IF(AC42="","",IF(DAY(AC42+1)=1,"",AC42+1))</f>
        <v/>
      </c>
      <c r="AE42" s="132">
        <f>IF(AD42="","",IF(DAY(AD42+1)=1,"",AD42+1))</f>
        <v/>
      </c>
      <c r="AF42" s="132">
        <f>IF(AE42="","",IF(DAY(AE42+1)=1,"",AE42+1))</f>
        <v/>
      </c>
      <c r="AG42" s="132">
        <f>IF(AF42="","",IF(DAY(AF42+1)=1,"",AF42+1))</f>
        <v/>
      </c>
      <c r="AH42" s="132">
        <f>IF(AG42="","",IF(DAY(AG42+1)=1,"",AG42+1))</f>
        <v/>
      </c>
      <c r="AI42" s="132">
        <f>IF(AH42="","",IF(DAY(AH42+1)=1,"",AH42+1))</f>
        <v/>
      </c>
      <c r="AJ42" s="132">
        <f>IF(AI42="","",IF(DAY(AI42+1)=1,"",AI42+1))</f>
        <v/>
      </c>
      <c r="AK42" s="132">
        <f>IF(AJ42="","",IF(DAY(AJ42+1)=1,"",AJ42+1))</f>
        <v/>
      </c>
      <c r="AL42" s="133" t="inlineStr">
        <is>
          <t>Total</t>
        </is>
      </c>
      <c r="AM42" s="7" t="n"/>
      <c r="AN42" s="21" t="n"/>
      <c r="AO42" s="20" t="n"/>
    </row>
    <row r="43" ht="20.25" customFormat="1" customHeight="1" s="11">
      <c r="A43" s="134" t="n"/>
      <c r="B43" s="135" t="n"/>
      <c r="C43" s="136" t="n"/>
      <c r="D43" s="92" t="inlineStr">
        <is>
          <t>時間</t>
        </is>
      </c>
      <c r="E43" s="137" t="n"/>
      <c r="F43" s="138" t="n"/>
      <c r="G43" s="139">
        <f>+G42</f>
        <v/>
      </c>
      <c r="H43" s="139">
        <f>+H42</f>
        <v/>
      </c>
      <c r="I43" s="139">
        <f>+I42</f>
        <v/>
      </c>
      <c r="J43" s="139">
        <f>+J42</f>
        <v/>
      </c>
      <c r="K43" s="139">
        <f>+K42</f>
        <v/>
      </c>
      <c r="L43" s="139">
        <f>+L42</f>
        <v/>
      </c>
      <c r="M43" s="139">
        <f>+M42</f>
        <v/>
      </c>
      <c r="N43" s="139">
        <f>+N42</f>
        <v/>
      </c>
      <c r="O43" s="139">
        <f>+O42</f>
        <v/>
      </c>
      <c r="P43" s="139">
        <f>+P42</f>
        <v/>
      </c>
      <c r="Q43" s="139">
        <f>+Q42</f>
        <v/>
      </c>
      <c r="R43" s="139">
        <f>+R42</f>
        <v/>
      </c>
      <c r="S43" s="139">
        <f>+S42</f>
        <v/>
      </c>
      <c r="T43" s="139">
        <f>+T42</f>
        <v/>
      </c>
      <c r="U43" s="139">
        <f>+U42</f>
        <v/>
      </c>
      <c r="V43" s="139">
        <f>+V42</f>
        <v/>
      </c>
      <c r="W43" s="139">
        <f>+W42</f>
        <v/>
      </c>
      <c r="X43" s="139">
        <f>+X42</f>
        <v/>
      </c>
      <c r="Y43" s="139">
        <f>+Y42</f>
        <v/>
      </c>
      <c r="Z43" s="139">
        <f>+Z42</f>
        <v/>
      </c>
      <c r="AA43" s="139">
        <f>+AA42</f>
        <v/>
      </c>
      <c r="AB43" s="139">
        <f>+AB42</f>
        <v/>
      </c>
      <c r="AC43" s="139">
        <f>+AC42</f>
        <v/>
      </c>
      <c r="AD43" s="139">
        <f>+AD42</f>
        <v/>
      </c>
      <c r="AE43" s="139">
        <f>+AE42</f>
        <v/>
      </c>
      <c r="AF43" s="139">
        <f>+AF42</f>
        <v/>
      </c>
      <c r="AG43" s="139">
        <f>+AG42</f>
        <v/>
      </c>
      <c r="AH43" s="139">
        <f>+AH42</f>
        <v/>
      </c>
      <c r="AI43" s="139">
        <f>+AI42</f>
        <v/>
      </c>
      <c r="AJ43" s="139">
        <f>+AJ42</f>
        <v/>
      </c>
      <c r="AK43" s="139">
        <f>+AK42</f>
        <v/>
      </c>
      <c r="AL43" s="140" t="n"/>
      <c r="AN43" s="21" t="n"/>
      <c r="AO43" s="20" t="n"/>
    </row>
    <row r="44" ht="56.25" customFormat="1" customHeight="1" s="11">
      <c r="A44" s="134" t="n"/>
      <c r="B44" s="141" t="inlineStr">
        <is>
          <t>PO 注文書</t>
        </is>
      </c>
      <c r="C44" s="142" t="n"/>
      <c r="D44" s="142" t="n"/>
      <c r="E44" s="142" t="n"/>
      <c r="F44" s="143" t="n"/>
      <c r="G44" s="144" t="n"/>
      <c r="H44" s="145" t="n"/>
      <c r="I44" s="144" t="n"/>
      <c r="J44" s="144" t="n">
        <v>7500</v>
      </c>
      <c r="K44" s="144" t="n"/>
      <c r="L44" s="144" t="n"/>
      <c r="M44" s="144" t="n"/>
      <c r="N44" s="144" t="n"/>
      <c r="O44" s="145" t="n"/>
      <c r="P44" s="144" t="n"/>
      <c r="Q44" s="144" t="n">
        <v>7500</v>
      </c>
      <c r="R44" s="144" t="n"/>
      <c r="S44" s="144" t="n"/>
      <c r="T44" s="144" t="n"/>
      <c r="U44" s="144" t="n"/>
      <c r="V44" s="145" t="n"/>
      <c r="W44" s="144" t="n"/>
      <c r="X44" s="144" t="n">
        <v>7500</v>
      </c>
      <c r="Y44" s="144" t="n"/>
      <c r="Z44" s="144" t="n"/>
      <c r="AA44" s="144" t="n"/>
      <c r="AB44" s="144" t="n"/>
      <c r="AC44" s="144" t="n"/>
      <c r="AD44" s="144" t="n"/>
      <c r="AE44" s="144" t="n">
        <v>7500</v>
      </c>
      <c r="AF44" s="144" t="n"/>
      <c r="AG44" s="144" t="n"/>
      <c r="AH44" s="144" t="n"/>
      <c r="AI44" s="144" t="n"/>
      <c r="AJ44" s="144" t="n"/>
      <c r="AK44" s="145" t="n"/>
      <c r="AL44" s="146">
        <f>SUM(G44:AK44)</f>
        <v/>
      </c>
      <c r="AN44" s="147" t="inlineStr">
        <is>
          <t>Tồn PO
注文の 残量</t>
        </is>
      </c>
      <c r="AO44" s="148">
        <f>AO35+AL44-AO45</f>
        <v/>
      </c>
      <c r="AP44" s="169" t="n"/>
    </row>
    <row r="45" ht="56.25" customHeight="1" s="127">
      <c r="A45" s="134" t="n"/>
      <c r="B45" s="96" t="inlineStr">
        <is>
          <t xml:space="preserve">計画数量
kế hoạch </t>
        </is>
      </c>
      <c r="C45" s="149" t="n"/>
      <c r="D45" s="149" t="n"/>
      <c r="E45" s="149" t="n"/>
      <c r="F45" s="150" t="n"/>
      <c r="G45" s="144" t="n"/>
      <c r="H45" s="144" t="n"/>
      <c r="I45" s="144" t="n"/>
      <c r="J45" s="145" t="n">
        <v>3600</v>
      </c>
      <c r="K45" s="145" t="n"/>
      <c r="L45" s="145" t="n"/>
      <c r="M45" s="145" t="n">
        <v>3600</v>
      </c>
      <c r="N45" s="145" t="n"/>
      <c r="O45" s="145" t="n"/>
      <c r="P45" s="145" t="n"/>
      <c r="Q45" s="145" t="n">
        <v>3600</v>
      </c>
      <c r="R45" s="145" t="n"/>
      <c r="S45" s="145" t="n"/>
      <c r="T45" s="145" t="n">
        <v>3600</v>
      </c>
      <c r="U45" s="145" t="n"/>
      <c r="V45" s="145" t="n"/>
      <c r="W45" s="145" t="n"/>
      <c r="X45" s="145" t="n">
        <v>3600</v>
      </c>
      <c r="Y45" s="145" t="n"/>
      <c r="Z45" s="145" t="n"/>
      <c r="AA45" s="145" t="n">
        <v>3600</v>
      </c>
      <c r="AB45" s="145" t="n"/>
      <c r="AC45" s="145" t="n"/>
      <c r="AD45" s="145" t="n"/>
      <c r="AE45" s="145" t="n">
        <v>3600</v>
      </c>
      <c r="AF45" s="145" t="n"/>
      <c r="AG45" s="145" t="n"/>
      <c r="AH45" s="145" t="n">
        <v>3600</v>
      </c>
      <c r="AI45" s="145" t="n"/>
      <c r="AJ45" s="145" t="n"/>
      <c r="AK45" s="145" t="n"/>
      <c r="AL45" s="151">
        <f>SUM(G45:AK45)</f>
        <v/>
      </c>
      <c r="AM45" s="0" t="n"/>
      <c r="AN45" s="24" t="inlineStr">
        <is>
          <t>Tổng nhập 総入荷数量
（A)-(B)+(C)</t>
        </is>
      </c>
      <c r="AO45" s="152">
        <f>AL46-AL47+AL48</f>
        <v/>
      </c>
    </row>
    <row r="46" ht="56.25" customHeight="1" s="127">
      <c r="A46" s="134" t="n"/>
      <c r="B46" s="96" t="inlineStr">
        <is>
          <t>実際の納品数量
số lượng thực nhập</t>
        </is>
      </c>
      <c r="C46" s="149" t="n"/>
      <c r="D46" s="149" t="n"/>
      <c r="E46" s="149" t="n"/>
      <c r="F46" s="150" t="n"/>
      <c r="G46" s="153" t="n"/>
      <c r="H46" s="153" t="n"/>
      <c r="I46" s="154" t="n"/>
      <c r="J46" s="155" t="n"/>
      <c r="K46" s="156" t="n"/>
      <c r="L46" s="156" t="n">
        <v>2400</v>
      </c>
      <c r="M46" s="155" t="n">
        <v>2400</v>
      </c>
      <c r="N46" s="155" t="n"/>
      <c r="O46" s="155" t="n"/>
      <c r="P46" s="155" t="n"/>
      <c r="Q46" s="156" t="n">
        <v>3600</v>
      </c>
      <c r="R46" s="156" t="n"/>
      <c r="S46" s="156" t="n"/>
      <c r="T46" s="156" t="n">
        <v>3600</v>
      </c>
      <c r="U46" s="156" t="n"/>
      <c r="V46" s="156" t="n"/>
      <c r="W46" s="156" t="n"/>
      <c r="X46" s="156" t="n">
        <v>2400</v>
      </c>
      <c r="Y46" s="156" t="n"/>
      <c r="Z46" s="156" t="n"/>
      <c r="AA46" s="156" t="n">
        <v>2400</v>
      </c>
      <c r="AB46" s="156" t="n"/>
      <c r="AC46" s="155" t="n"/>
      <c r="AD46" s="155" t="n"/>
      <c r="AE46" s="156" t="n">
        <v>3600</v>
      </c>
      <c r="AF46" s="156" t="n"/>
      <c r="AG46" s="155" t="n"/>
      <c r="AH46" s="155" t="n">
        <v>3600</v>
      </c>
      <c r="AI46" s="156" t="n"/>
      <c r="AJ46" s="156" t="n"/>
      <c r="AK46" s="156" t="n"/>
      <c r="AL46" s="157">
        <f>SUM(G46:AK46)</f>
        <v/>
      </c>
      <c r="AM46" s="6" t="inlineStr">
        <is>
          <t>(A)</t>
        </is>
      </c>
      <c r="AN46" s="24" t="inlineStr">
        <is>
          <t>Số lượng chưa khai tháng trước 先月まだ税関に申告されていない数量</t>
        </is>
      </c>
      <c r="AO46" s="148">
        <f>AO39</f>
        <v/>
      </c>
    </row>
    <row r="47" ht="56.25" customHeight="1" s="127">
      <c r="A47" s="134" t="n"/>
      <c r="B47" s="96" t="inlineStr">
        <is>
          <t>NG数量（DO SUNG 社変更済）
số lượng NG (Trả hàng DO SUNG)</t>
        </is>
      </c>
      <c r="C47" s="149" t="n"/>
      <c r="D47" s="149" t="n"/>
      <c r="E47" s="149" t="n"/>
      <c r="F47" s="150" t="n"/>
      <c r="G47" s="144" t="n"/>
      <c r="H47" s="144" t="n"/>
      <c r="I47" s="144" t="n"/>
      <c r="J47" s="145" t="n"/>
      <c r="K47" s="145" t="n"/>
      <c r="L47" s="145" t="n">
        <v>306</v>
      </c>
      <c r="M47" s="145" t="n"/>
      <c r="N47" s="145" t="n"/>
      <c r="O47" s="145" t="n"/>
      <c r="P47" s="145" t="n"/>
      <c r="Q47" s="145" t="n"/>
      <c r="R47" s="145" t="n"/>
      <c r="S47" s="145" t="n"/>
      <c r="T47" s="145" t="n"/>
      <c r="U47" s="145" t="n"/>
      <c r="V47" s="145" t="n"/>
      <c r="W47" s="145" t="n"/>
      <c r="X47" s="145" t="n"/>
      <c r="Y47" s="145" t="n"/>
      <c r="Z47" s="145" t="n"/>
      <c r="AA47" s="145" t="n"/>
      <c r="AB47" s="145" t="n"/>
      <c r="AC47" s="145" t="n"/>
      <c r="AD47" s="145" t="n"/>
      <c r="AE47" s="145" t="n"/>
      <c r="AF47" s="145" t="n"/>
      <c r="AG47" s="145" t="n"/>
      <c r="AH47" s="145" t="n"/>
      <c r="AI47" s="145" t="n"/>
      <c r="AJ47" s="145" t="n"/>
      <c r="AK47" s="145" t="n"/>
      <c r="AL47" s="158">
        <f>SUM(G47:AK47)</f>
        <v/>
      </c>
      <c r="AM47" s="6" t="inlineStr">
        <is>
          <t>(B)</t>
        </is>
      </c>
      <c r="AN47" s="24" t="inlineStr">
        <is>
          <t>Số lượng đã khai tháng này 今月税関に申告された数量</t>
        </is>
      </c>
      <c r="AO47" s="26">
        <f>6968+15200+5294</f>
        <v/>
      </c>
    </row>
    <row r="48" ht="56.25" customHeight="1" s="127" thickBot="1">
      <c r="A48" s="159" t="n"/>
      <c r="B48" s="98" t="inlineStr">
        <is>
          <t>NG数量（DO SUNG　社しゅり済）
số lượng NG (DO SUNG đã sửa )</t>
        </is>
      </c>
      <c r="C48" s="160" t="n"/>
      <c r="D48" s="160" t="n"/>
      <c r="E48" s="160" t="n"/>
      <c r="F48" s="161" t="n"/>
      <c r="G48" s="162" t="n"/>
      <c r="H48" s="162" t="n"/>
      <c r="I48" s="163" t="n"/>
      <c r="J48" s="164" t="n"/>
      <c r="K48" s="165" t="n"/>
      <c r="L48" s="164" t="n"/>
      <c r="M48" s="164" t="n"/>
      <c r="N48" s="164" t="n"/>
      <c r="O48" s="164" t="n"/>
      <c r="P48" s="164" t="n"/>
      <c r="Q48" s="164" t="n"/>
      <c r="R48" s="165" t="n"/>
      <c r="S48" s="164" t="n"/>
      <c r="T48" s="164" t="n"/>
      <c r="U48" s="164" t="n"/>
      <c r="V48" s="164" t="n"/>
      <c r="W48" s="164" t="n"/>
      <c r="X48" s="164" t="n"/>
      <c r="Y48" s="165" t="n"/>
      <c r="Z48" s="164" t="n"/>
      <c r="AA48" s="164" t="n"/>
      <c r="AB48" s="164" t="n"/>
      <c r="AC48" s="164" t="n"/>
      <c r="AD48" s="164" t="n"/>
      <c r="AE48" s="165" t="n"/>
      <c r="AF48" s="165" t="n"/>
      <c r="AG48" s="164" t="n"/>
      <c r="AH48" s="164" t="n"/>
      <c r="AI48" s="164" t="n"/>
      <c r="AJ48" s="165" t="n"/>
      <c r="AK48" s="165" t="n"/>
      <c r="AL48" s="166">
        <f>SUM(G48:AK48)</f>
        <v/>
      </c>
      <c r="AM48" s="6" t="inlineStr">
        <is>
          <t>(C)</t>
        </is>
      </c>
      <c r="AN48" s="24" t="inlineStr">
        <is>
          <t>Số lượng còn lại chưa khai 残りの数量はまだ税関に申告されていません</t>
        </is>
      </c>
      <c r="AO48" s="148">
        <f>AO46+AO45-AO47</f>
        <v/>
      </c>
    </row>
    <row r="49">
      <c r="AO49" s="168" t="n"/>
    </row>
    <row r="50" ht="21" customHeight="1" s="127" thickBot="1">
      <c r="B50" s="85" t="n">
        <v>2026</v>
      </c>
      <c r="D50" s="85" t="inlineStr">
        <is>
          <t>年</t>
        </is>
      </c>
      <c r="E50" s="85" t="n">
        <v>6</v>
      </c>
      <c r="F50" s="29" t="inlineStr">
        <is>
          <t>月</t>
        </is>
      </c>
      <c r="G50" s="8" t="n"/>
      <c r="H50" s="3" t="n"/>
      <c r="I50" s="3" t="n"/>
      <c r="J50" s="5" t="n"/>
      <c r="K50" s="5" t="n"/>
      <c r="L50" s="5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7" t="n"/>
    </row>
    <row r="51" ht="20.25" customFormat="1" customHeight="1" s="11">
      <c r="A51" s="128" t="inlineStr">
        <is>
          <t>JOINTER
PAR-011</t>
        </is>
      </c>
      <c r="B51" s="89" t="inlineStr">
        <is>
          <t>輸送</t>
        </is>
      </c>
      <c r="C51" s="129" t="n"/>
      <c r="D51" s="90" t="inlineStr">
        <is>
          <t>日</t>
        </is>
      </c>
      <c r="E51" s="130" t="n"/>
      <c r="F51" s="131" t="n"/>
      <c r="G51" s="132">
        <f>DATE(B50,E50,1)</f>
        <v/>
      </c>
      <c r="H51" s="132">
        <f>IF(G51="","",IF(DAY(G51+1)=1,"",G51+1))</f>
        <v/>
      </c>
      <c r="I51" s="132">
        <f>IF(H51="","",IF(DAY(H51+1)=1,"",H51+1))</f>
        <v/>
      </c>
      <c r="J51" s="132">
        <f>IF(I51="","",IF(DAY(I51+1)=1,"",I51+1))</f>
        <v/>
      </c>
      <c r="K51" s="132">
        <f>IF(J51="","",IF(DAY(J51+1)=1,"",J51+1))</f>
        <v/>
      </c>
      <c r="L51" s="132">
        <f>IF(K51="","",IF(DAY(K51+1)=1,"",K51+1))</f>
        <v/>
      </c>
      <c r="M51" s="132">
        <f>IF(L51="","",IF(DAY(L51+1)=1,"",L51+1))</f>
        <v/>
      </c>
      <c r="N51" s="132">
        <f>IF(M51="","",IF(DAY(M51+1)=1,"",M51+1))</f>
        <v/>
      </c>
      <c r="O51" s="132">
        <f>IF(N51="","",IF(DAY(N51+1)=1,"",N51+1))</f>
        <v/>
      </c>
      <c r="P51" s="132">
        <f>IF(O51="","",IF(DAY(O51+1)=1,"",O51+1))</f>
        <v/>
      </c>
      <c r="Q51" s="132">
        <f>IF(P51="","",IF(DAY(P51+1)=1,"",P51+1))</f>
        <v/>
      </c>
      <c r="R51" s="132">
        <f>IF(Q51="","",IF(DAY(Q51+1)=1,"",Q51+1))</f>
        <v/>
      </c>
      <c r="S51" s="132">
        <f>IF(R51="","",IF(DAY(R51+1)=1,"",R51+1))</f>
        <v/>
      </c>
      <c r="T51" s="132">
        <f>IF(S51="","",IF(DAY(S51+1)=1,"",S51+1))</f>
        <v/>
      </c>
      <c r="U51" s="132">
        <f>IF(T51="","",IF(DAY(T51+1)=1,"",T51+1))</f>
        <v/>
      </c>
      <c r="V51" s="132">
        <f>IF(U51="","",IF(DAY(U51+1)=1,"",U51+1))</f>
        <v/>
      </c>
      <c r="W51" s="132">
        <f>IF(V51="","",IF(DAY(V51+1)=1,"",V51+1))</f>
        <v/>
      </c>
      <c r="X51" s="132">
        <f>IF(W51="","",IF(DAY(W51+1)=1,"",W51+1))</f>
        <v/>
      </c>
      <c r="Y51" s="132">
        <f>IF(X51="","",IF(DAY(X51+1)=1,"",X51+1))</f>
        <v/>
      </c>
      <c r="Z51" s="132">
        <f>IF(Y51="","",IF(DAY(Y51+1)=1,"",Y51+1))</f>
        <v/>
      </c>
      <c r="AA51" s="132">
        <f>IF(Z51="","",IF(DAY(Z51+1)=1,"",Z51+1))</f>
        <v/>
      </c>
      <c r="AB51" s="132">
        <f>IF(AA51="","",IF(DAY(AA51+1)=1,"",AA51+1))</f>
        <v/>
      </c>
      <c r="AC51" s="132">
        <f>IF(AB51="","",IF(DAY(AB51+1)=1,"",AB51+1))</f>
        <v/>
      </c>
      <c r="AD51" s="132">
        <f>IF(AC51="","",IF(DAY(AC51+1)=1,"",AC51+1))</f>
        <v/>
      </c>
      <c r="AE51" s="132">
        <f>IF(AD51="","",IF(DAY(AD51+1)=1,"",AD51+1))</f>
        <v/>
      </c>
      <c r="AF51" s="132">
        <f>IF(AE51="","",IF(DAY(AE51+1)=1,"",AE51+1))</f>
        <v/>
      </c>
      <c r="AG51" s="132">
        <f>IF(AF51="","",IF(DAY(AF51+1)=1,"",AF51+1))</f>
        <v/>
      </c>
      <c r="AH51" s="132">
        <f>IF(AG51="","",IF(DAY(AG51+1)=1,"",AG51+1))</f>
        <v/>
      </c>
      <c r="AI51" s="132">
        <f>IF(AH51="","",IF(DAY(AH51+1)=1,"",AH51+1))</f>
        <v/>
      </c>
      <c r="AJ51" s="132">
        <f>IF(AI51="","",IF(DAY(AI51+1)=1,"",AI51+1))</f>
        <v/>
      </c>
      <c r="AK51" s="132">
        <f>IF(AJ51="","",IF(DAY(AJ51+1)=1,"",AJ51+1))</f>
        <v/>
      </c>
      <c r="AL51" s="133" t="inlineStr">
        <is>
          <t>Total</t>
        </is>
      </c>
      <c r="AM51" s="7" t="n"/>
      <c r="AN51" s="21" t="n"/>
      <c r="AO51" s="20" t="n"/>
    </row>
    <row r="52" ht="20.25" customFormat="1" customHeight="1" s="11">
      <c r="A52" s="134" t="n"/>
      <c r="B52" s="135" t="n"/>
      <c r="C52" s="136" t="n"/>
      <c r="D52" s="92" t="inlineStr">
        <is>
          <t>時間</t>
        </is>
      </c>
      <c r="E52" s="137" t="n"/>
      <c r="F52" s="138" t="n"/>
      <c r="G52" s="139">
        <f>+G51</f>
        <v/>
      </c>
      <c r="H52" s="139">
        <f>+H51</f>
        <v/>
      </c>
      <c r="I52" s="139">
        <f>+I51</f>
        <v/>
      </c>
      <c r="J52" s="139">
        <f>+J51</f>
        <v/>
      </c>
      <c r="K52" s="139">
        <f>+K51</f>
        <v/>
      </c>
      <c r="L52" s="139">
        <f>+L51</f>
        <v/>
      </c>
      <c r="M52" s="139">
        <f>+M51</f>
        <v/>
      </c>
      <c r="N52" s="139">
        <f>+N51</f>
        <v/>
      </c>
      <c r="O52" s="139">
        <f>+O51</f>
        <v/>
      </c>
      <c r="P52" s="139">
        <f>+P51</f>
        <v/>
      </c>
      <c r="Q52" s="139">
        <f>+Q51</f>
        <v/>
      </c>
      <c r="R52" s="139">
        <f>+R51</f>
        <v/>
      </c>
      <c r="S52" s="139">
        <f>+S51</f>
        <v/>
      </c>
      <c r="T52" s="139">
        <f>+T51</f>
        <v/>
      </c>
      <c r="U52" s="139">
        <f>+U51</f>
        <v/>
      </c>
      <c r="V52" s="139">
        <f>+V51</f>
        <v/>
      </c>
      <c r="W52" s="139">
        <f>+W51</f>
        <v/>
      </c>
      <c r="X52" s="139">
        <f>+X51</f>
        <v/>
      </c>
      <c r="Y52" s="139">
        <f>+Y51</f>
        <v/>
      </c>
      <c r="Z52" s="139">
        <f>+Z51</f>
        <v/>
      </c>
      <c r="AA52" s="139">
        <f>+AA51</f>
        <v/>
      </c>
      <c r="AB52" s="139">
        <f>+AB51</f>
        <v/>
      </c>
      <c r="AC52" s="139">
        <f>+AC51</f>
        <v/>
      </c>
      <c r="AD52" s="139">
        <f>+AD51</f>
        <v/>
      </c>
      <c r="AE52" s="139">
        <f>+AE51</f>
        <v/>
      </c>
      <c r="AF52" s="139">
        <f>+AF51</f>
        <v/>
      </c>
      <c r="AG52" s="139">
        <f>+AG51</f>
        <v/>
      </c>
      <c r="AH52" s="139">
        <f>+AH51</f>
        <v/>
      </c>
      <c r="AI52" s="139">
        <f>+AI51</f>
        <v/>
      </c>
      <c r="AJ52" s="139">
        <f>+AJ51</f>
        <v/>
      </c>
      <c r="AK52" s="139">
        <f>+AK51</f>
        <v/>
      </c>
      <c r="AL52" s="140" t="n"/>
      <c r="AN52" s="21" t="n"/>
      <c r="AO52" s="20" t="n"/>
    </row>
    <row r="53" ht="56.25" customFormat="1" customHeight="1" s="11">
      <c r="A53" s="134" t="n"/>
      <c r="B53" s="141" t="inlineStr">
        <is>
          <t>PO 注文書</t>
        </is>
      </c>
      <c r="C53" s="142" t="n"/>
      <c r="D53" s="142" t="n"/>
      <c r="E53" s="142" t="n"/>
      <c r="F53" s="143" t="n"/>
      <c r="G53" s="144" t="n">
        <v>6000</v>
      </c>
      <c r="H53" s="145" t="n"/>
      <c r="I53" s="144" t="n"/>
      <c r="J53" s="144" t="n"/>
      <c r="K53" s="144" t="n"/>
      <c r="L53" s="144" t="n"/>
      <c r="M53" s="144" t="n"/>
      <c r="N53" s="144" t="n">
        <v>6000</v>
      </c>
      <c r="O53" s="145" t="n"/>
      <c r="P53" s="144" t="n"/>
      <c r="Q53" s="144" t="n"/>
      <c r="R53" s="144" t="n"/>
      <c r="S53" s="144" t="n"/>
      <c r="T53" s="144" t="n"/>
      <c r="U53" s="144" t="n">
        <v>6000</v>
      </c>
      <c r="V53" s="145" t="n"/>
      <c r="W53" s="144" t="n"/>
      <c r="X53" s="144" t="n"/>
      <c r="Y53" s="144" t="n"/>
      <c r="Z53" s="144" t="n"/>
      <c r="AA53" s="144" t="n"/>
      <c r="AB53" s="144" t="n">
        <v>6000</v>
      </c>
      <c r="AC53" s="144" t="n"/>
      <c r="AD53" s="144" t="n"/>
      <c r="AE53" s="144" t="n"/>
      <c r="AF53" s="144" t="n"/>
      <c r="AG53" s="144" t="n"/>
      <c r="AH53" s="144" t="n"/>
      <c r="AI53" s="144" t="n">
        <v>6000</v>
      </c>
      <c r="AJ53" s="144" t="n"/>
      <c r="AK53" s="145" t="n"/>
      <c r="AL53" s="146">
        <f>SUM(G53:AK53)</f>
        <v/>
      </c>
      <c r="AN53" s="147" t="inlineStr">
        <is>
          <t>Tồn PO
注文の 残量</t>
        </is>
      </c>
      <c r="AO53" s="148">
        <f>AO44+AL53-AO54</f>
        <v/>
      </c>
      <c r="AP53" s="169" t="n"/>
    </row>
    <row r="54" ht="56.25" customHeight="1" s="127">
      <c r="A54" s="134" t="n"/>
      <c r="B54" s="96" t="inlineStr">
        <is>
          <t xml:space="preserve">計画数量
kế hoạch </t>
        </is>
      </c>
      <c r="C54" s="149" t="n"/>
      <c r="D54" s="149" t="n"/>
      <c r="E54" s="149" t="n"/>
      <c r="F54" s="150" t="n"/>
      <c r="G54" s="145" t="n">
        <v>3600</v>
      </c>
      <c r="H54" s="144" t="n"/>
      <c r="I54" s="144" t="n"/>
      <c r="J54" s="145" t="n">
        <v>3600</v>
      </c>
      <c r="K54" s="145" t="n"/>
      <c r="L54" s="145" t="n"/>
      <c r="M54" s="145" t="n"/>
      <c r="N54" s="145" t="n">
        <v>3600</v>
      </c>
      <c r="O54" s="145" t="n"/>
      <c r="P54" s="145" t="n"/>
      <c r="Q54" s="145" t="n">
        <v>3600</v>
      </c>
      <c r="R54" s="145" t="n"/>
      <c r="S54" s="145" t="n"/>
      <c r="T54" s="145" t="n"/>
      <c r="U54" s="145" t="n">
        <v>3600</v>
      </c>
      <c r="V54" s="145" t="n"/>
      <c r="W54" s="145" t="n"/>
      <c r="X54" s="145" t="n">
        <v>3600</v>
      </c>
      <c r="Y54" s="145" t="n"/>
      <c r="Z54" s="145" t="n"/>
      <c r="AA54" s="145" t="n"/>
      <c r="AB54" s="145" t="n">
        <v>3600</v>
      </c>
      <c r="AC54" s="145" t="n"/>
      <c r="AD54" s="145" t="n"/>
      <c r="AE54" s="145" t="n">
        <v>3600</v>
      </c>
      <c r="AF54" s="145" t="n"/>
      <c r="AG54" s="145" t="n"/>
      <c r="AH54" s="145" t="n"/>
      <c r="AI54" s="145" t="n">
        <v>3600</v>
      </c>
      <c r="AJ54" s="145" t="n"/>
      <c r="AK54" s="145" t="n"/>
      <c r="AL54" s="151">
        <f>SUM(G54:AK54)</f>
        <v/>
      </c>
      <c r="AM54" s="0" t="n"/>
      <c r="AN54" s="24" t="inlineStr">
        <is>
          <t>Tổng nhập 総入荷数量
（A)-(B)+(C)</t>
        </is>
      </c>
      <c r="AO54" s="152">
        <f>AL55-AL56+AL57</f>
        <v/>
      </c>
    </row>
    <row r="55" ht="56.25" customHeight="1" s="127">
      <c r="A55" s="134" t="n"/>
      <c r="B55" s="96" t="inlineStr">
        <is>
          <t>実際の納品数量
số lượng thực nhập</t>
        </is>
      </c>
      <c r="C55" s="149" t="n"/>
      <c r="D55" s="149" t="n"/>
      <c r="E55" s="149" t="n"/>
      <c r="F55" s="150" t="n"/>
      <c r="G55" s="153" t="n">
        <v>4800</v>
      </c>
      <c r="H55" s="153" t="n"/>
      <c r="I55" s="154" t="n"/>
      <c r="J55" s="155" t="n">
        <v>4800</v>
      </c>
      <c r="K55" s="156" t="n"/>
      <c r="L55" s="156" t="n"/>
      <c r="M55" s="155" t="n"/>
      <c r="N55" s="155" t="n">
        <v>3600</v>
      </c>
      <c r="O55" s="155" t="n"/>
      <c r="P55" s="155" t="n"/>
      <c r="Q55" s="156" t="n">
        <v>4800</v>
      </c>
      <c r="R55" s="156" t="n"/>
      <c r="S55" s="156" t="n"/>
      <c r="T55" s="156" t="n"/>
      <c r="U55" s="156" t="n"/>
      <c r="V55" s="156" t="n"/>
      <c r="W55" s="156" t="n"/>
      <c r="X55" s="156" t="n"/>
      <c r="Y55" s="156" t="n">
        <v>4800</v>
      </c>
      <c r="Z55" s="156" t="n"/>
      <c r="AA55" s="156" t="n"/>
      <c r="AB55" s="156" t="n"/>
      <c r="AC55" s="155" t="n"/>
      <c r="AD55" s="155" t="n"/>
      <c r="AE55" s="156" t="n">
        <v>7500</v>
      </c>
      <c r="AF55" s="156" t="n"/>
      <c r="AG55" s="155" t="n"/>
      <c r="AH55" s="155" t="n"/>
      <c r="AI55" s="156" t="n"/>
      <c r="AJ55" s="156" t="n">
        <v>2700</v>
      </c>
      <c r="AK55" s="156" t="n"/>
      <c r="AL55" s="157">
        <f>SUM(G55:AK55)</f>
        <v/>
      </c>
      <c r="AM55" s="6" t="inlineStr">
        <is>
          <t>(A)</t>
        </is>
      </c>
      <c r="AN55" s="24" t="inlineStr">
        <is>
          <t>Số lượng chưa khai tháng trước 先月まだ税関に申告されていない数量</t>
        </is>
      </c>
      <c r="AO55" s="148">
        <f>AO48</f>
        <v/>
      </c>
    </row>
    <row r="56" ht="56.25" customHeight="1" s="127">
      <c r="A56" s="134" t="n"/>
      <c r="B56" s="96" t="inlineStr">
        <is>
          <t>NG数量（DO SUNG 社変更済）
số lượng NG (Trả hàng DO SUNG)</t>
        </is>
      </c>
      <c r="C56" s="149" t="n"/>
      <c r="D56" s="149" t="n"/>
      <c r="E56" s="149" t="n"/>
      <c r="F56" s="150" t="n"/>
      <c r="G56" s="144" t="n"/>
      <c r="H56" s="144" t="n"/>
      <c r="I56" s="144" t="n"/>
      <c r="J56" s="145" t="n"/>
      <c r="K56" s="145" t="n"/>
      <c r="L56" s="145" t="n"/>
      <c r="M56" s="145" t="n"/>
      <c r="N56" s="145" t="n"/>
      <c r="O56" s="145" t="n"/>
      <c r="P56" s="145" t="n"/>
      <c r="Q56" s="145" t="n"/>
      <c r="R56" s="145" t="n"/>
      <c r="S56" s="145" t="n"/>
      <c r="T56" s="145" t="n"/>
      <c r="U56" s="145" t="n"/>
      <c r="V56" s="145" t="n"/>
      <c r="W56" s="145" t="n"/>
      <c r="X56" s="145" t="n"/>
      <c r="Y56" s="145" t="n"/>
      <c r="Z56" s="145" t="n"/>
      <c r="AA56" s="145" t="n"/>
      <c r="AB56" s="145" t="n"/>
      <c r="AC56" s="145" t="n"/>
      <c r="AD56" s="145" t="n"/>
      <c r="AE56" s="145" t="n"/>
      <c r="AF56" s="145" t="n"/>
      <c r="AG56" s="145" t="n"/>
      <c r="AH56" s="145" t="n"/>
      <c r="AI56" s="145" t="n"/>
      <c r="AJ56" s="145" t="n"/>
      <c r="AK56" s="145" t="n"/>
      <c r="AL56" s="158">
        <f>SUM(G56:AK56)</f>
        <v/>
      </c>
      <c r="AM56" s="6" t="inlineStr">
        <is>
          <t>(B)</t>
        </is>
      </c>
      <c r="AN56" s="24" t="inlineStr">
        <is>
          <t>Số lượng đã khai tháng này 今月税関に申告された数量</t>
        </is>
      </c>
      <c r="AO56" s="26">
        <f>19600+8400+5000</f>
        <v/>
      </c>
    </row>
    <row r="57" ht="56.25" customHeight="1" s="127" thickBot="1">
      <c r="A57" s="159" t="n"/>
      <c r="B57" s="98" t="inlineStr">
        <is>
          <t>NG数量（DO SUNG　社しゅり済）
số lượng NG (DO SUNG đã sửa )</t>
        </is>
      </c>
      <c r="C57" s="160" t="n"/>
      <c r="D57" s="160" t="n"/>
      <c r="E57" s="160" t="n"/>
      <c r="F57" s="161" t="n"/>
      <c r="G57" s="162" t="n"/>
      <c r="H57" s="162" t="n"/>
      <c r="I57" s="163" t="n"/>
      <c r="J57" s="164" t="n"/>
      <c r="K57" s="165" t="n"/>
      <c r="L57" s="164" t="n"/>
      <c r="M57" s="164" t="n"/>
      <c r="N57" s="164" t="n"/>
      <c r="O57" s="164" t="n"/>
      <c r="P57" s="164" t="n"/>
      <c r="Q57" s="164" t="n"/>
      <c r="R57" s="165" t="n"/>
      <c r="S57" s="164" t="n"/>
      <c r="T57" s="164" t="n"/>
      <c r="U57" s="164" t="n"/>
      <c r="V57" s="164" t="n"/>
      <c r="W57" s="164" t="n"/>
      <c r="X57" s="164" t="n"/>
      <c r="Y57" s="165" t="n"/>
      <c r="Z57" s="164" t="n"/>
      <c r="AA57" s="164" t="n"/>
      <c r="AB57" s="164" t="n"/>
      <c r="AC57" s="164" t="n"/>
      <c r="AD57" s="164" t="n"/>
      <c r="AE57" s="165" t="n"/>
      <c r="AF57" s="165" t="n"/>
      <c r="AG57" s="164" t="n"/>
      <c r="AH57" s="164" t="n"/>
      <c r="AI57" s="164" t="n"/>
      <c r="AJ57" s="165" t="n"/>
      <c r="AK57" s="165" t="n"/>
      <c r="AL57" s="166">
        <f>SUM(G57:AK57)</f>
        <v/>
      </c>
      <c r="AM57" s="6" t="inlineStr">
        <is>
          <t>(C)</t>
        </is>
      </c>
      <c r="AN57" s="24" t="inlineStr">
        <is>
          <t>Số lượng còn lại chưa khai 残りの数量はまだ税関に申告されていません</t>
        </is>
      </c>
      <c r="AO57" s="148">
        <f>AO55+AO54-AO56</f>
        <v/>
      </c>
    </row>
    <row r="58">
      <c r="AO58" s="168" t="n"/>
    </row>
    <row r="59" ht="21" customHeight="1" s="127" thickBot="1">
      <c r="B59" s="85" t="n">
        <v>2026</v>
      </c>
      <c r="D59" s="85" t="inlineStr">
        <is>
          <t>年</t>
        </is>
      </c>
      <c r="E59" s="85" t="n">
        <v>7</v>
      </c>
      <c r="F59" s="29" t="inlineStr">
        <is>
          <t>月</t>
        </is>
      </c>
      <c r="G59" s="8" t="n"/>
      <c r="H59" s="3" t="n"/>
      <c r="I59" s="3" t="n"/>
      <c r="J59" s="5" t="n"/>
      <c r="K59" s="5" t="n"/>
      <c r="L59" s="5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7" t="n"/>
    </row>
    <row r="60" ht="20.25" customFormat="1" customHeight="1" s="11">
      <c r="A60" s="128" t="inlineStr">
        <is>
          <t>JOINTER
PAR-011</t>
        </is>
      </c>
      <c r="B60" s="89" t="inlineStr">
        <is>
          <t>輸送</t>
        </is>
      </c>
      <c r="C60" s="129" t="n"/>
      <c r="D60" s="90" t="inlineStr">
        <is>
          <t>日</t>
        </is>
      </c>
      <c r="E60" s="130" t="n"/>
      <c r="F60" s="131" t="n"/>
      <c r="G60" s="132">
        <f>DATE(B59,E59,1)</f>
        <v/>
      </c>
      <c r="H60" s="132">
        <f>IF(G60="","",IF(DAY(G60+1)=1,"",G60+1))</f>
        <v/>
      </c>
      <c r="I60" s="132">
        <f>IF(H60="","",IF(DAY(H60+1)=1,"",H60+1))</f>
        <v/>
      </c>
      <c r="J60" s="132">
        <f>IF(I60="","",IF(DAY(I60+1)=1,"",I60+1))</f>
        <v/>
      </c>
      <c r="K60" s="132">
        <f>IF(J60="","",IF(DAY(J60+1)=1,"",J60+1))</f>
        <v/>
      </c>
      <c r="L60" s="132">
        <f>IF(K60="","",IF(DAY(K60+1)=1,"",K60+1))</f>
        <v/>
      </c>
      <c r="M60" s="132">
        <f>IF(L60="","",IF(DAY(L60+1)=1,"",L60+1))</f>
        <v/>
      </c>
      <c r="N60" s="132">
        <f>IF(M60="","",IF(DAY(M60+1)=1,"",M60+1))</f>
        <v/>
      </c>
      <c r="O60" s="132">
        <f>IF(N60="","",IF(DAY(N60+1)=1,"",N60+1))</f>
        <v/>
      </c>
      <c r="P60" s="132">
        <f>IF(O60="","",IF(DAY(O60+1)=1,"",O60+1))</f>
        <v/>
      </c>
      <c r="Q60" s="132">
        <f>IF(P60="","",IF(DAY(P60+1)=1,"",P60+1))</f>
        <v/>
      </c>
      <c r="R60" s="132">
        <f>IF(Q60="","",IF(DAY(Q60+1)=1,"",Q60+1))</f>
        <v/>
      </c>
      <c r="S60" s="132">
        <f>IF(R60="","",IF(DAY(R60+1)=1,"",R60+1))</f>
        <v/>
      </c>
      <c r="T60" s="132">
        <f>IF(S60="","",IF(DAY(S60+1)=1,"",S60+1))</f>
        <v/>
      </c>
      <c r="U60" s="132">
        <f>IF(T60="","",IF(DAY(T60+1)=1,"",T60+1))</f>
        <v/>
      </c>
      <c r="V60" s="132">
        <f>IF(U60="","",IF(DAY(U60+1)=1,"",U60+1))</f>
        <v/>
      </c>
      <c r="W60" s="132">
        <f>IF(V60="","",IF(DAY(V60+1)=1,"",V60+1))</f>
        <v/>
      </c>
      <c r="X60" s="132">
        <f>IF(W60="","",IF(DAY(W60+1)=1,"",W60+1))</f>
        <v/>
      </c>
      <c r="Y60" s="132">
        <f>IF(X60="","",IF(DAY(X60+1)=1,"",X60+1))</f>
        <v/>
      </c>
      <c r="Z60" s="132">
        <f>IF(Y60="","",IF(DAY(Y60+1)=1,"",Y60+1))</f>
        <v/>
      </c>
      <c r="AA60" s="132">
        <f>IF(Z60="","",IF(DAY(Z60+1)=1,"",Z60+1))</f>
        <v/>
      </c>
      <c r="AB60" s="132">
        <f>IF(AA60="","",IF(DAY(AA60+1)=1,"",AA60+1))</f>
        <v/>
      </c>
      <c r="AC60" s="132">
        <f>IF(AB60="","",IF(DAY(AB60+1)=1,"",AB60+1))</f>
        <v/>
      </c>
      <c r="AD60" s="132">
        <f>IF(AC60="","",IF(DAY(AC60+1)=1,"",AC60+1))</f>
        <v/>
      </c>
      <c r="AE60" s="132">
        <f>IF(AD60="","",IF(DAY(AD60+1)=1,"",AD60+1))</f>
        <v/>
      </c>
      <c r="AF60" s="132">
        <f>IF(AE60="","",IF(DAY(AE60+1)=1,"",AE60+1))</f>
        <v/>
      </c>
      <c r="AG60" s="132">
        <f>IF(AF60="","",IF(DAY(AF60+1)=1,"",AF60+1))</f>
        <v/>
      </c>
      <c r="AH60" s="132">
        <f>IF(AG60="","",IF(DAY(AG60+1)=1,"",AG60+1))</f>
        <v/>
      </c>
      <c r="AI60" s="132">
        <f>IF(AH60="","",IF(DAY(AH60+1)=1,"",AH60+1))</f>
        <v/>
      </c>
      <c r="AJ60" s="132">
        <f>IF(AI60="","",IF(DAY(AI60+1)=1,"",AI60+1))</f>
        <v/>
      </c>
      <c r="AK60" s="132">
        <f>IF(AJ60="","",IF(DAY(AJ60+1)=1,"",AJ60+1))</f>
        <v/>
      </c>
      <c r="AL60" s="133" t="inlineStr">
        <is>
          <t>Total</t>
        </is>
      </c>
      <c r="AM60" s="7" t="n"/>
      <c r="AN60" s="21" t="n"/>
      <c r="AO60" s="20" t="n"/>
    </row>
    <row r="61" ht="20.25" customFormat="1" customHeight="1" s="11">
      <c r="A61" s="134" t="n"/>
      <c r="B61" s="135" t="n"/>
      <c r="C61" s="136" t="n"/>
      <c r="D61" s="92" t="inlineStr">
        <is>
          <t>時間</t>
        </is>
      </c>
      <c r="E61" s="137" t="n"/>
      <c r="F61" s="138" t="n"/>
      <c r="G61" s="139">
        <f>+G60</f>
        <v/>
      </c>
      <c r="H61" s="139">
        <f>+H60</f>
        <v/>
      </c>
      <c r="I61" s="139">
        <f>+I60</f>
        <v/>
      </c>
      <c r="J61" s="139">
        <f>+J60</f>
        <v/>
      </c>
      <c r="K61" s="139">
        <f>+K60</f>
        <v/>
      </c>
      <c r="L61" s="139">
        <f>+L60</f>
        <v/>
      </c>
      <c r="M61" s="139">
        <f>+M60</f>
        <v/>
      </c>
      <c r="N61" s="139">
        <f>+N60</f>
        <v/>
      </c>
      <c r="O61" s="139">
        <f>+O60</f>
        <v/>
      </c>
      <c r="P61" s="139">
        <f>+P60</f>
        <v/>
      </c>
      <c r="Q61" s="139">
        <f>+Q60</f>
        <v/>
      </c>
      <c r="R61" s="139">
        <f>+R60</f>
        <v/>
      </c>
      <c r="S61" s="139">
        <f>+S60</f>
        <v/>
      </c>
      <c r="T61" s="139">
        <f>+T60</f>
        <v/>
      </c>
      <c r="U61" s="139">
        <f>+U60</f>
        <v/>
      </c>
      <c r="V61" s="139">
        <f>+V60</f>
        <v/>
      </c>
      <c r="W61" s="139">
        <f>+W60</f>
        <v/>
      </c>
      <c r="X61" s="139">
        <f>+X60</f>
        <v/>
      </c>
      <c r="Y61" s="139">
        <f>+Y60</f>
        <v/>
      </c>
      <c r="Z61" s="139">
        <f>+Z60</f>
        <v/>
      </c>
      <c r="AA61" s="139">
        <f>+AA60</f>
        <v/>
      </c>
      <c r="AB61" s="139">
        <f>+AB60</f>
        <v/>
      </c>
      <c r="AC61" s="139">
        <f>+AC60</f>
        <v/>
      </c>
      <c r="AD61" s="139">
        <f>+AD60</f>
        <v/>
      </c>
      <c r="AE61" s="139">
        <f>+AE60</f>
        <v/>
      </c>
      <c r="AF61" s="139">
        <f>+AF60</f>
        <v/>
      </c>
      <c r="AG61" s="139">
        <f>+AG60</f>
        <v/>
      </c>
      <c r="AH61" s="139">
        <f>+AH60</f>
        <v/>
      </c>
      <c r="AI61" s="139">
        <f>+AI60</f>
        <v/>
      </c>
      <c r="AJ61" s="139">
        <f>+AJ60</f>
        <v/>
      </c>
      <c r="AK61" s="139">
        <f>+AK60</f>
        <v/>
      </c>
      <c r="AL61" s="140" t="n"/>
      <c r="AN61" s="21" t="n"/>
      <c r="AO61" s="20" t="n"/>
    </row>
    <row r="62" ht="56.25" customFormat="1" customHeight="1" s="11">
      <c r="A62" s="134" t="n"/>
      <c r="B62" s="141" t="inlineStr">
        <is>
          <t>PO 注文書</t>
        </is>
      </c>
      <c r="C62" s="142" t="n"/>
      <c r="D62" s="142" t="n"/>
      <c r="E62" s="142" t="n"/>
      <c r="F62" s="143" t="n"/>
      <c r="G62" s="144" t="n"/>
      <c r="H62" s="145" t="n"/>
      <c r="I62" s="144" t="n"/>
      <c r="J62" s="144" t="n"/>
      <c r="K62" s="144" t="n"/>
      <c r="L62" s="144">
        <f>5000+2200</f>
        <v/>
      </c>
      <c r="M62" s="144" t="n"/>
      <c r="N62" s="144" t="n"/>
      <c r="O62" s="145" t="n"/>
      <c r="P62" s="144" t="n"/>
      <c r="Q62" s="144" t="n"/>
      <c r="R62" s="144" t="n"/>
      <c r="S62" s="144">
        <f>5000+2200</f>
        <v/>
      </c>
      <c r="T62" s="144" t="n"/>
      <c r="U62" s="144" t="n"/>
      <c r="V62" s="145" t="n"/>
      <c r="W62" s="144" t="n"/>
      <c r="X62" s="144" t="n"/>
      <c r="Y62" s="144" t="n"/>
      <c r="Z62" s="144">
        <f>5000+2200</f>
        <v/>
      </c>
      <c r="AA62" s="144" t="n"/>
      <c r="AB62" s="144" t="n"/>
      <c r="AC62" s="144" t="n"/>
      <c r="AD62" s="144" t="n"/>
      <c r="AE62" s="144" t="n"/>
      <c r="AF62" s="144" t="n"/>
      <c r="AG62" s="144">
        <f>5000+2200</f>
        <v/>
      </c>
      <c r="AH62" s="144" t="n"/>
      <c r="AI62" s="144" t="n"/>
      <c r="AJ62" s="144" t="n"/>
      <c r="AK62" s="145" t="n"/>
      <c r="AL62" s="146">
        <f>SUM(G62:AK62)</f>
        <v/>
      </c>
      <c r="AN62" s="147" t="inlineStr">
        <is>
          <t>Tồn PO
注文の 残量</t>
        </is>
      </c>
      <c r="AO62" s="148">
        <f>AO53+AL62-AO63</f>
        <v/>
      </c>
      <c r="AP62" s="169" t="n"/>
    </row>
    <row r="63" ht="56.25" customHeight="1" s="127">
      <c r="A63" s="134" t="n"/>
      <c r="B63" s="96" t="inlineStr">
        <is>
          <t xml:space="preserve">計画数量
kế hoạch </t>
        </is>
      </c>
      <c r="C63" s="149" t="n"/>
      <c r="D63" s="149" t="n"/>
      <c r="E63" s="149" t="n"/>
      <c r="F63" s="150" t="n"/>
      <c r="G63" s="144" t="n"/>
      <c r="H63" s="144" t="n"/>
      <c r="I63" s="144" t="n"/>
      <c r="J63" s="144" t="n"/>
      <c r="K63" s="145" t="n"/>
      <c r="L63" s="144" t="n"/>
      <c r="M63" s="144" t="n"/>
      <c r="N63" s="144" t="n"/>
      <c r="O63" s="144" t="n"/>
      <c r="P63" s="144" t="n"/>
      <c r="Q63" s="144" t="n"/>
      <c r="R63" s="145" t="n"/>
      <c r="S63" s="144" t="n"/>
      <c r="T63" s="144" t="n"/>
      <c r="U63" s="144" t="n"/>
      <c r="V63" s="170" t="n">
        <v>7000</v>
      </c>
      <c r="W63" s="144" t="n"/>
      <c r="X63" s="144" t="n"/>
      <c r="Y63" s="145" t="n"/>
      <c r="Z63" s="144" t="n"/>
      <c r="AA63" s="144" t="n"/>
      <c r="AB63" s="144" t="n"/>
      <c r="AC63" s="170" t="n">
        <v>6500</v>
      </c>
      <c r="AD63" s="144" t="n"/>
      <c r="AE63" s="144" t="n"/>
      <c r="AF63" s="145" t="n"/>
      <c r="AG63" s="144" t="n"/>
      <c r="AH63" s="144" t="n"/>
      <c r="AI63" s="144" t="n"/>
      <c r="AJ63" s="171" t="n">
        <v>6500</v>
      </c>
      <c r="AK63" s="145" t="n"/>
      <c r="AL63" s="151">
        <f>SUM(G63:AK63)</f>
        <v/>
      </c>
      <c r="AM63" s="0" t="n"/>
      <c r="AN63" s="24" t="inlineStr">
        <is>
          <t>Tổng nhập 総入荷数量
（A)-(B)+(C)</t>
        </is>
      </c>
      <c r="AO63" s="152">
        <f>AL64-AL65+AL66</f>
        <v/>
      </c>
    </row>
    <row r="64" ht="56.25" customHeight="1" s="127">
      <c r="A64" s="134" t="n"/>
      <c r="B64" s="96" t="inlineStr">
        <is>
          <t>実際の納品数量
số lượng thực nhập</t>
        </is>
      </c>
      <c r="C64" s="149" t="n"/>
      <c r="D64" s="149" t="n"/>
      <c r="E64" s="149" t="n"/>
      <c r="F64" s="150" t="n"/>
      <c r="G64" s="153" t="n"/>
      <c r="H64" s="153" t="n"/>
      <c r="I64" s="154" t="n"/>
      <c r="J64" s="155" t="n"/>
      <c r="K64" s="156" t="n"/>
      <c r="L64" s="156" t="n"/>
      <c r="M64" s="155" t="n"/>
      <c r="N64" s="155" t="n"/>
      <c r="O64" s="155" t="n"/>
      <c r="P64" s="155" t="n"/>
      <c r="Q64" s="156" t="n"/>
      <c r="R64" s="156" t="n"/>
      <c r="S64" s="156" t="n"/>
      <c r="T64" s="156" t="n"/>
      <c r="U64" s="156" t="n"/>
      <c r="V64" s="156" t="n">
        <v>7200</v>
      </c>
      <c r="W64" s="156" t="n"/>
      <c r="X64" s="156" t="n"/>
      <c r="Y64" s="156" t="n"/>
      <c r="Z64" s="156" t="n"/>
      <c r="AA64" s="156" t="n"/>
      <c r="AB64" s="156" t="n"/>
      <c r="AC64" s="155" t="n"/>
      <c r="AD64" s="155" t="n"/>
      <c r="AE64" s="156" t="n"/>
      <c r="AF64" s="156" t="n"/>
      <c r="AG64" s="155" t="n"/>
      <c r="AH64" s="155" t="n"/>
      <c r="AI64" s="156" t="n"/>
      <c r="AJ64" s="156" t="n"/>
      <c r="AK64" s="156" t="n"/>
      <c r="AL64" s="157">
        <f>SUM(G64:AK64)</f>
        <v/>
      </c>
      <c r="AM64" s="6" t="inlineStr">
        <is>
          <t>(A)</t>
        </is>
      </c>
      <c r="AN64" s="24" t="inlineStr">
        <is>
          <t>Số lượng chưa khai tháng trước 先月まだ税関に申告されていない数量</t>
        </is>
      </c>
      <c r="AO64" s="148">
        <f>AO57</f>
        <v/>
      </c>
    </row>
    <row r="65" ht="56.25" customHeight="1" s="127">
      <c r="A65" s="134" t="n"/>
      <c r="B65" s="96" t="inlineStr">
        <is>
          <t>NG数量（DO SUNG 社変更済）
số lượng NG (Trả hàng DO SUNG)</t>
        </is>
      </c>
      <c r="C65" s="149" t="n"/>
      <c r="D65" s="149" t="n"/>
      <c r="E65" s="149" t="n"/>
      <c r="F65" s="150" t="n"/>
      <c r="G65" s="144" t="n"/>
      <c r="H65" s="144" t="n"/>
      <c r="I65" s="144" t="n"/>
      <c r="J65" s="145" t="n"/>
      <c r="K65" s="145" t="n"/>
      <c r="L65" s="145" t="n"/>
      <c r="M65" s="145" t="n"/>
      <c r="N65" s="145" t="n"/>
      <c r="O65" s="145" t="n"/>
      <c r="P65" s="145" t="n"/>
      <c r="Q65" s="145" t="n"/>
      <c r="R65" s="145" t="n"/>
      <c r="S65" s="145" t="n"/>
      <c r="T65" s="145" t="n"/>
      <c r="U65" s="145" t="n"/>
      <c r="V65" s="145" t="n"/>
      <c r="W65" s="145" t="n"/>
      <c r="X65" s="145" t="n"/>
      <c r="Y65" s="145" t="n"/>
      <c r="Z65" s="145" t="n"/>
      <c r="AA65" s="145" t="n"/>
      <c r="AB65" s="145" t="n"/>
      <c r="AC65" s="145" t="n"/>
      <c r="AD65" s="145" t="n"/>
      <c r="AE65" s="145" t="n"/>
      <c r="AF65" s="145" t="n"/>
      <c r="AG65" s="145" t="n"/>
      <c r="AH65" s="145" t="n"/>
      <c r="AI65" s="145" t="n"/>
      <c r="AJ65" s="145" t="n"/>
      <c r="AK65" s="145" t="n"/>
      <c r="AL65" s="158">
        <f>SUM(G65:AK65)</f>
        <v/>
      </c>
      <c r="AM65" s="6" t="inlineStr">
        <is>
          <t>(B)</t>
        </is>
      </c>
      <c r="AN65" s="24" t="inlineStr">
        <is>
          <t>Số lượng đã khai tháng này 今月税関に申告された数量</t>
        </is>
      </c>
      <c r="AO65" s="148">
        <f>AO64+AO63</f>
        <v/>
      </c>
    </row>
    <row r="66" ht="56.25" customHeight="1" s="127" thickBot="1">
      <c r="A66" s="159" t="n"/>
      <c r="B66" s="98" t="inlineStr">
        <is>
          <t>NG数量（DO SUNG　社しゅり済）
số lượng NG (DO SUNG đã sửa )</t>
        </is>
      </c>
      <c r="C66" s="160" t="n"/>
      <c r="D66" s="160" t="n"/>
      <c r="E66" s="160" t="n"/>
      <c r="F66" s="161" t="n"/>
      <c r="G66" s="162" t="n"/>
      <c r="H66" s="162" t="n"/>
      <c r="I66" s="163" t="n"/>
      <c r="J66" s="164" t="n"/>
      <c r="K66" s="165" t="n"/>
      <c r="L66" s="164" t="n"/>
      <c r="M66" s="164" t="n"/>
      <c r="N66" s="164" t="n"/>
      <c r="O66" s="164" t="n"/>
      <c r="P66" s="164" t="n"/>
      <c r="Q66" s="164" t="n"/>
      <c r="R66" s="165" t="n"/>
      <c r="S66" s="164" t="n"/>
      <c r="T66" s="164" t="n"/>
      <c r="U66" s="164" t="n"/>
      <c r="V66" s="164" t="n"/>
      <c r="W66" s="164" t="n"/>
      <c r="X66" s="164" t="n"/>
      <c r="Y66" s="165" t="n"/>
      <c r="Z66" s="164" t="n"/>
      <c r="AA66" s="164" t="n"/>
      <c r="AB66" s="164" t="n"/>
      <c r="AC66" s="164" t="n"/>
      <c r="AD66" s="164" t="n"/>
      <c r="AE66" s="165" t="n"/>
      <c r="AF66" s="165" t="n"/>
      <c r="AG66" s="164" t="n"/>
      <c r="AH66" s="164" t="n"/>
      <c r="AI66" s="164" t="n"/>
      <c r="AJ66" s="165" t="n"/>
      <c r="AK66" s="165" t="n"/>
      <c r="AL66" s="166">
        <f>SUM(G66:AK66)</f>
        <v/>
      </c>
      <c r="AM66" s="6" t="inlineStr">
        <is>
          <t>(C)</t>
        </is>
      </c>
      <c r="AN66" s="24" t="inlineStr">
        <is>
          <t>Số lượng còn lại chưa khai 残りの数量はまだ税関に申告されていません</t>
        </is>
      </c>
      <c r="AO66" s="65" t="n"/>
    </row>
    <row r="67">
      <c r="T67" s="1">
        <f>2200*2</f>
        <v/>
      </c>
      <c r="AO67" s="168" t="n"/>
    </row>
    <row r="68" ht="21" customHeight="1" s="127" thickBot="1">
      <c r="B68" s="85" t="n">
        <v>2026</v>
      </c>
      <c r="D68" s="85" t="inlineStr">
        <is>
          <t>年</t>
        </is>
      </c>
      <c r="E68" s="85" t="n">
        <v>8</v>
      </c>
      <c r="F68" s="29" t="inlineStr">
        <is>
          <t>月</t>
        </is>
      </c>
      <c r="G68" s="8" t="n"/>
      <c r="H68" s="3" t="n"/>
      <c r="I68" s="3" t="n"/>
      <c r="J68" s="5" t="n"/>
      <c r="K68" s="5" t="n"/>
      <c r="L68" s="5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7" t="n"/>
    </row>
    <row r="69" ht="20.25" customFormat="1" customHeight="1" s="11">
      <c r="A69" s="128" t="inlineStr">
        <is>
          <t>JOINTER
PAR-011</t>
        </is>
      </c>
      <c r="B69" s="89" t="inlineStr">
        <is>
          <t>輸送</t>
        </is>
      </c>
      <c r="C69" s="129" t="n"/>
      <c r="D69" s="90" t="inlineStr">
        <is>
          <t>日</t>
        </is>
      </c>
      <c r="E69" s="130" t="n"/>
      <c r="F69" s="131" t="n"/>
      <c r="G69" s="132">
        <f>DATE(B68,E68,1)</f>
        <v/>
      </c>
      <c r="H69" s="132">
        <f>IF(G69="","",IF(DAY(G69+1)=1,"",G69+1))</f>
        <v/>
      </c>
      <c r="I69" s="132">
        <f>IF(H69="","",IF(DAY(H69+1)=1,"",H69+1))</f>
        <v/>
      </c>
      <c r="J69" s="132">
        <f>IF(I69="","",IF(DAY(I69+1)=1,"",I69+1))</f>
        <v/>
      </c>
      <c r="K69" s="132">
        <f>IF(J69="","",IF(DAY(J69+1)=1,"",J69+1))</f>
        <v/>
      </c>
      <c r="L69" s="132">
        <f>IF(K69="","",IF(DAY(K69+1)=1,"",K69+1))</f>
        <v/>
      </c>
      <c r="M69" s="132">
        <f>IF(L69="","",IF(DAY(L69+1)=1,"",L69+1))</f>
        <v/>
      </c>
      <c r="N69" s="132">
        <f>IF(M69="","",IF(DAY(M69+1)=1,"",M69+1))</f>
        <v/>
      </c>
      <c r="O69" s="132">
        <f>IF(N69="","",IF(DAY(N69+1)=1,"",N69+1))</f>
        <v/>
      </c>
      <c r="P69" s="132">
        <f>IF(O69="","",IF(DAY(O69+1)=1,"",O69+1))</f>
        <v/>
      </c>
      <c r="Q69" s="132">
        <f>IF(P69="","",IF(DAY(P69+1)=1,"",P69+1))</f>
        <v/>
      </c>
      <c r="R69" s="132">
        <f>IF(Q69="","",IF(DAY(Q69+1)=1,"",Q69+1))</f>
        <v/>
      </c>
      <c r="S69" s="132">
        <f>IF(R69="","",IF(DAY(R69+1)=1,"",R69+1))</f>
        <v/>
      </c>
      <c r="T69" s="132">
        <f>IF(S69="","",IF(DAY(S69+1)=1,"",S69+1))</f>
        <v/>
      </c>
      <c r="U69" s="132">
        <f>IF(T69="","",IF(DAY(T69+1)=1,"",T69+1))</f>
        <v/>
      </c>
      <c r="V69" s="132">
        <f>IF(U69="","",IF(DAY(U69+1)=1,"",U69+1))</f>
        <v/>
      </c>
      <c r="W69" s="132">
        <f>IF(V69="","",IF(DAY(V69+1)=1,"",V69+1))</f>
        <v/>
      </c>
      <c r="X69" s="132">
        <f>IF(W69="","",IF(DAY(W69+1)=1,"",W69+1))</f>
        <v/>
      </c>
      <c r="Y69" s="132">
        <f>IF(X69="","",IF(DAY(X69+1)=1,"",X69+1))</f>
        <v/>
      </c>
      <c r="Z69" s="132">
        <f>IF(Y69="","",IF(DAY(Y69+1)=1,"",Y69+1))</f>
        <v/>
      </c>
      <c r="AA69" s="132">
        <f>IF(Z69="","",IF(DAY(Z69+1)=1,"",Z69+1))</f>
        <v/>
      </c>
      <c r="AB69" s="132">
        <f>IF(AA69="","",IF(DAY(AA69+1)=1,"",AA69+1))</f>
        <v/>
      </c>
      <c r="AC69" s="132">
        <f>IF(AB69="","",IF(DAY(AB69+1)=1,"",AB69+1))</f>
        <v/>
      </c>
      <c r="AD69" s="132">
        <f>IF(AC69="","",IF(DAY(AC69+1)=1,"",AC69+1))</f>
        <v/>
      </c>
      <c r="AE69" s="132">
        <f>IF(AD69="","",IF(DAY(AD69+1)=1,"",AD69+1))</f>
        <v/>
      </c>
      <c r="AF69" s="132">
        <f>IF(AE69="","",IF(DAY(AE69+1)=1,"",AE69+1))</f>
        <v/>
      </c>
      <c r="AG69" s="132">
        <f>IF(AF69="","",IF(DAY(AF69+1)=1,"",AF69+1))</f>
        <v/>
      </c>
      <c r="AH69" s="132">
        <f>IF(AG69="","",IF(DAY(AG69+1)=1,"",AG69+1))</f>
        <v/>
      </c>
      <c r="AI69" s="132">
        <f>IF(AH69="","",IF(DAY(AH69+1)=1,"",AH69+1))</f>
        <v/>
      </c>
      <c r="AJ69" s="132">
        <f>IF(AI69="","",IF(DAY(AI69+1)=1,"",AI69+1))</f>
        <v/>
      </c>
      <c r="AK69" s="132">
        <f>IF(AJ69="","",IF(DAY(AJ69+1)=1,"",AJ69+1))</f>
        <v/>
      </c>
      <c r="AL69" s="133" t="inlineStr">
        <is>
          <t>Total</t>
        </is>
      </c>
      <c r="AM69" s="7" t="n"/>
      <c r="AN69" s="21" t="n"/>
      <c r="AO69" s="20" t="n"/>
    </row>
    <row r="70" ht="20.25" customFormat="1" customHeight="1" s="11">
      <c r="A70" s="134" t="n"/>
      <c r="B70" s="135" t="n"/>
      <c r="C70" s="136" t="n"/>
      <c r="D70" s="92" t="inlineStr">
        <is>
          <t>時間</t>
        </is>
      </c>
      <c r="E70" s="137" t="n"/>
      <c r="F70" s="138" t="n"/>
      <c r="G70" s="139">
        <f>+G69</f>
        <v/>
      </c>
      <c r="H70" s="139">
        <f>+H69</f>
        <v/>
      </c>
      <c r="I70" s="139">
        <f>+I69</f>
        <v/>
      </c>
      <c r="J70" s="139">
        <f>+J69</f>
        <v/>
      </c>
      <c r="K70" s="139">
        <f>+K69</f>
        <v/>
      </c>
      <c r="L70" s="139">
        <f>+L69</f>
        <v/>
      </c>
      <c r="M70" s="139">
        <f>+M69</f>
        <v/>
      </c>
      <c r="N70" s="139">
        <f>+N69</f>
        <v/>
      </c>
      <c r="O70" s="139">
        <f>+O69</f>
        <v/>
      </c>
      <c r="P70" s="139">
        <f>+P69</f>
        <v/>
      </c>
      <c r="Q70" s="139">
        <f>+Q69</f>
        <v/>
      </c>
      <c r="R70" s="139">
        <f>+R69</f>
        <v/>
      </c>
      <c r="S70" s="139">
        <f>+S69</f>
        <v/>
      </c>
      <c r="T70" s="139">
        <f>+T69</f>
        <v/>
      </c>
      <c r="U70" s="139">
        <f>+U69</f>
        <v/>
      </c>
      <c r="V70" s="139">
        <f>+V69</f>
        <v/>
      </c>
      <c r="W70" s="139">
        <f>+W69</f>
        <v/>
      </c>
      <c r="X70" s="139">
        <f>+X69</f>
        <v/>
      </c>
      <c r="Y70" s="139">
        <f>+Y69</f>
        <v/>
      </c>
      <c r="Z70" s="139">
        <f>+Z69</f>
        <v/>
      </c>
      <c r="AA70" s="139">
        <f>+AA69</f>
        <v/>
      </c>
      <c r="AB70" s="139">
        <f>+AB69</f>
        <v/>
      </c>
      <c r="AC70" s="139">
        <f>+AC69</f>
        <v/>
      </c>
      <c r="AD70" s="139">
        <f>+AD69</f>
        <v/>
      </c>
      <c r="AE70" s="139">
        <f>+AE69</f>
        <v/>
      </c>
      <c r="AF70" s="139">
        <f>+AF69</f>
        <v/>
      </c>
      <c r="AG70" s="139">
        <f>+AG69</f>
        <v/>
      </c>
      <c r="AH70" s="139">
        <f>+AH69</f>
        <v/>
      </c>
      <c r="AI70" s="139">
        <f>+AI69</f>
        <v/>
      </c>
      <c r="AJ70" s="139">
        <f>+AJ69</f>
        <v/>
      </c>
      <c r="AK70" s="139">
        <f>+AK69</f>
        <v/>
      </c>
      <c r="AL70" s="140" t="n"/>
      <c r="AN70" s="21" t="n"/>
      <c r="AO70" s="20" t="n"/>
    </row>
    <row r="71" ht="56.25" customFormat="1" customHeight="1" s="11">
      <c r="A71" s="134" t="n"/>
      <c r="B71" s="141" t="inlineStr">
        <is>
          <t>PO 注文書</t>
        </is>
      </c>
      <c r="C71" s="142" t="n"/>
      <c r="D71" s="142" t="n"/>
      <c r="E71" s="142" t="n"/>
      <c r="F71" s="143" t="n"/>
      <c r="G71" s="144" t="n"/>
      <c r="H71" s="145" t="n"/>
      <c r="I71" s="144">
        <f>5000+2200</f>
        <v/>
      </c>
      <c r="J71" s="144" t="n"/>
      <c r="K71" s="144" t="n"/>
      <c r="L71" s="144" t="n"/>
      <c r="M71" s="144" t="n"/>
      <c r="N71" s="144" t="n"/>
      <c r="O71" s="144" t="n"/>
      <c r="P71" s="144">
        <f>5000+2200</f>
        <v/>
      </c>
      <c r="Q71" s="144" t="n"/>
      <c r="R71" s="144" t="n"/>
      <c r="S71" s="144" t="n"/>
      <c r="T71" s="144" t="n"/>
      <c r="U71" s="144" t="n"/>
      <c r="V71" s="144" t="n"/>
      <c r="W71" s="144">
        <f>5000+2200</f>
        <v/>
      </c>
      <c r="X71" s="144" t="n"/>
      <c r="Y71" s="144" t="n"/>
      <c r="Z71" s="144" t="n"/>
      <c r="AA71" s="144" t="n"/>
      <c r="AB71" s="144" t="n"/>
      <c r="AC71" s="144" t="n"/>
      <c r="AD71" s="144">
        <f>5000+2200</f>
        <v/>
      </c>
      <c r="AE71" s="144" t="n"/>
      <c r="AF71" s="144" t="n"/>
      <c r="AG71" s="144" t="n"/>
      <c r="AH71" s="144" t="n"/>
      <c r="AI71" s="144" t="n"/>
      <c r="AJ71" s="144" t="n"/>
      <c r="AK71" s="144" t="n">
        <v>7200</v>
      </c>
      <c r="AL71" s="146">
        <f>SUM(G71:AK71)</f>
        <v/>
      </c>
      <c r="AN71" s="147" t="inlineStr">
        <is>
          <t>Tồn PO
注文の 残量</t>
        </is>
      </c>
      <c r="AO71" s="148">
        <f>AO62+AL71-AO72</f>
        <v/>
      </c>
      <c r="AP71" s="169" t="n"/>
    </row>
    <row r="72" ht="56.25" customHeight="1" s="127">
      <c r="A72" s="134" t="n"/>
      <c r="B72" s="96" t="inlineStr">
        <is>
          <t xml:space="preserve">計画数量
kế hoạch </t>
        </is>
      </c>
      <c r="C72" s="149" t="n"/>
      <c r="D72" s="149" t="n"/>
      <c r="E72" s="149" t="n"/>
      <c r="F72" s="150" t="n"/>
      <c r="G72" s="144" t="n"/>
      <c r="H72" s="144" t="n"/>
      <c r="I72" s="144" t="n"/>
      <c r="J72" s="144" t="n"/>
      <c r="K72" s="145" t="n"/>
      <c r="L72" s="172" t="n">
        <v>10000</v>
      </c>
      <c r="M72" s="144" t="n"/>
      <c r="N72" s="144" t="n"/>
      <c r="O72" s="144" t="n"/>
      <c r="P72" s="144" t="n"/>
      <c r="Q72" s="144" t="n"/>
      <c r="R72" s="145" t="n"/>
      <c r="S72" s="144" t="n"/>
      <c r="T72" s="144" t="n"/>
      <c r="U72" s="144" t="n"/>
      <c r="V72" s="144" t="n"/>
      <c r="W72" s="144" t="n"/>
      <c r="X72" s="144" t="n"/>
      <c r="Y72" s="145" t="n"/>
      <c r="Z72" s="144" t="n"/>
      <c r="AA72" s="144" t="n"/>
      <c r="AB72" s="144" t="n"/>
      <c r="AC72" s="144" t="n"/>
      <c r="AD72" s="144" t="n"/>
      <c r="AE72" s="144" t="n"/>
      <c r="AF72" s="145" t="n"/>
      <c r="AG72" s="172" t="n">
        <v>10000</v>
      </c>
      <c r="AH72" s="144" t="n"/>
      <c r="AI72" s="144" t="n"/>
      <c r="AJ72" s="145" t="n"/>
      <c r="AK72" s="145" t="n"/>
      <c r="AL72" s="151">
        <f>SUM(G72:AK72)</f>
        <v/>
      </c>
      <c r="AM72" s="0" t="n"/>
      <c r="AN72" s="24" t="inlineStr">
        <is>
          <t>Tổng nhập 総入荷数量
（A)-(B)+(C)</t>
        </is>
      </c>
      <c r="AO72" s="152">
        <f>AL73-AL74+AL75</f>
        <v/>
      </c>
    </row>
    <row r="73" ht="56.25" customHeight="1" s="127">
      <c r="A73" s="134" t="n"/>
      <c r="B73" s="96" t="inlineStr">
        <is>
          <t>実際の納品数量
số lượng thực nhập</t>
        </is>
      </c>
      <c r="C73" s="149" t="n"/>
      <c r="D73" s="149" t="n"/>
      <c r="E73" s="149" t="n"/>
      <c r="F73" s="150" t="n"/>
      <c r="G73" s="153" t="n">
        <v>0</v>
      </c>
      <c r="H73" s="153" t="n"/>
      <c r="I73" s="154" t="n"/>
      <c r="J73" s="144" t="n"/>
      <c r="K73" s="145" t="n"/>
      <c r="L73" s="172" t="n">
        <v>10000</v>
      </c>
      <c r="M73" s="144" t="n"/>
      <c r="N73" s="155" t="n"/>
      <c r="O73" s="155" t="n"/>
      <c r="P73" s="155" t="n"/>
      <c r="Q73" s="156" t="n"/>
      <c r="R73" s="156" t="n"/>
      <c r="S73" s="156" t="n"/>
      <c r="T73" s="156" t="n"/>
      <c r="U73" s="156" t="n"/>
      <c r="V73" s="156" t="n"/>
      <c r="W73" s="156" t="n"/>
      <c r="X73" s="156" t="n"/>
      <c r="Y73" s="156" t="n"/>
      <c r="Z73" s="156" t="n"/>
      <c r="AA73" s="156" t="n"/>
      <c r="AB73" s="156" t="n"/>
      <c r="AC73" s="155" t="n"/>
      <c r="AD73" s="155" t="n"/>
      <c r="AE73" s="156" t="n"/>
      <c r="AF73" s="156" t="n"/>
      <c r="AG73" s="155" t="n">
        <v>10000</v>
      </c>
      <c r="AH73" s="155" t="n"/>
      <c r="AI73" s="156" t="n"/>
      <c r="AJ73" s="156" t="n"/>
      <c r="AK73" s="156" t="n"/>
      <c r="AL73" s="157">
        <f>SUM(G73:AK73)</f>
        <v/>
      </c>
      <c r="AM73" s="6" t="inlineStr">
        <is>
          <t>(A)</t>
        </is>
      </c>
      <c r="AN73" s="24" t="inlineStr">
        <is>
          <t>Số lượng chưa khai tháng trước 先月まだ税関に申告されていない数量</t>
        </is>
      </c>
      <c r="AO73" s="148" t="n"/>
    </row>
    <row r="74" ht="56.25" customHeight="1" s="127">
      <c r="A74" s="134" t="n"/>
      <c r="B74" s="96" t="inlineStr">
        <is>
          <t>NG数量（DO SUNG 社変更済）
số lượng NG (Trả hàng DO SUNG)</t>
        </is>
      </c>
      <c r="C74" s="149" t="n"/>
      <c r="D74" s="149" t="n"/>
      <c r="E74" s="149" t="n"/>
      <c r="F74" s="150" t="n"/>
      <c r="G74" s="144" t="n">
        <v>0</v>
      </c>
      <c r="H74" s="144" t="n"/>
      <c r="I74" s="144" t="n"/>
      <c r="J74" s="145" t="n"/>
      <c r="K74" s="145" t="n"/>
      <c r="L74" s="145" t="n"/>
      <c r="M74" s="145" t="n"/>
      <c r="N74" s="145" t="n"/>
      <c r="O74" s="145" t="n"/>
      <c r="P74" s="145" t="n"/>
      <c r="Q74" s="145" t="n"/>
      <c r="R74" s="145" t="n"/>
      <c r="S74" s="145" t="n"/>
      <c r="T74" s="145" t="n"/>
      <c r="U74" s="145" t="n"/>
      <c r="V74" s="145" t="n"/>
      <c r="W74" s="145" t="n"/>
      <c r="X74" s="145" t="n"/>
      <c r="Y74" s="145" t="n"/>
      <c r="Z74" s="145" t="n"/>
      <c r="AA74" s="145" t="n"/>
      <c r="AB74" s="145" t="n"/>
      <c r="AC74" s="145" t="n"/>
      <c r="AD74" s="145" t="n"/>
      <c r="AE74" s="145" t="n"/>
      <c r="AF74" s="145" t="n"/>
      <c r="AG74" s="145" t="n"/>
      <c r="AH74" s="145" t="n"/>
      <c r="AI74" s="145" t="n"/>
      <c r="AJ74" s="145" t="n"/>
      <c r="AK74" s="145" t="n"/>
      <c r="AL74" s="158">
        <f>SUM(G74:AK74)</f>
        <v/>
      </c>
      <c r="AM74" s="6" t="inlineStr">
        <is>
          <t>(B)</t>
        </is>
      </c>
      <c r="AN74" s="24" t="inlineStr">
        <is>
          <t>Số lượng đã khai tháng này 今月税関に申告された数量</t>
        </is>
      </c>
      <c r="AO74" s="26" t="n">
        <v>20000</v>
      </c>
    </row>
    <row r="75" ht="56.25" customHeight="1" s="127" thickBot="1">
      <c r="A75" s="159" t="n"/>
      <c r="B75" s="98" t="inlineStr">
        <is>
          <t>NG数量（DO SUNG　社しゅり済）
số lượng NG (DO SUNG đã sửa )</t>
        </is>
      </c>
      <c r="C75" s="160" t="n"/>
      <c r="D75" s="160" t="n"/>
      <c r="E75" s="160" t="n"/>
      <c r="F75" s="161" t="n"/>
      <c r="G75" s="162" t="n"/>
      <c r="H75" s="162" t="n"/>
      <c r="I75" s="163" t="n"/>
      <c r="J75" s="164" t="n"/>
      <c r="K75" s="165" t="n"/>
      <c r="L75" s="164" t="n"/>
      <c r="M75" s="164" t="n"/>
      <c r="N75" s="164" t="n"/>
      <c r="O75" s="164" t="n"/>
      <c r="P75" s="164" t="n"/>
      <c r="Q75" s="164" t="n"/>
      <c r="R75" s="165" t="n"/>
      <c r="S75" s="164" t="n"/>
      <c r="T75" s="164" t="n"/>
      <c r="U75" s="164" t="n"/>
      <c r="V75" s="164" t="n"/>
      <c r="W75" s="164" t="n"/>
      <c r="X75" s="164" t="n"/>
      <c r="Y75" s="165" t="n"/>
      <c r="Z75" s="164" t="n"/>
      <c r="AA75" s="164" t="n"/>
      <c r="AB75" s="164" t="n"/>
      <c r="AC75" s="164" t="n"/>
      <c r="AD75" s="164" t="n"/>
      <c r="AE75" s="165" t="n"/>
      <c r="AF75" s="165" t="n"/>
      <c r="AG75" s="164" t="n"/>
      <c r="AH75" s="164" t="n"/>
      <c r="AI75" s="164" t="n"/>
      <c r="AJ75" s="165" t="n"/>
      <c r="AK75" s="165" t="n"/>
      <c r="AL75" s="166">
        <f>SUM(G75:AK75)</f>
        <v/>
      </c>
      <c r="AM75" s="6" t="inlineStr">
        <is>
          <t>(C)</t>
        </is>
      </c>
      <c r="AN75" s="24" t="inlineStr">
        <is>
          <t>Số lượng còn lại chưa khai 残りの数量はまだ税関に申告されていません</t>
        </is>
      </c>
      <c r="AO75" s="148">
        <f>AO73+AO72-AO74</f>
        <v/>
      </c>
    </row>
    <row r="76">
      <c r="AO76" s="168" t="n"/>
    </row>
    <row r="77" ht="21" customHeight="1" s="127" thickBot="1">
      <c r="B77" s="85" t="n">
        <v>2026</v>
      </c>
      <c r="D77" s="85" t="inlineStr">
        <is>
          <t>年</t>
        </is>
      </c>
      <c r="E77" s="85" t="n">
        <v>9</v>
      </c>
      <c r="F77" s="29" t="inlineStr">
        <is>
          <t>月</t>
        </is>
      </c>
      <c r="G77" s="8" t="n"/>
      <c r="H77" s="3" t="n"/>
      <c r="I77" s="3" t="n"/>
      <c r="J77" s="5" t="n"/>
      <c r="K77" s="5" t="n"/>
      <c r="L77" s="5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7" t="n"/>
    </row>
    <row r="78" ht="20.25" customFormat="1" customHeight="1" s="11">
      <c r="A78" s="128" t="inlineStr">
        <is>
          <t>JOINTER
PAR-011</t>
        </is>
      </c>
      <c r="B78" s="89" t="inlineStr">
        <is>
          <t>輸送</t>
        </is>
      </c>
      <c r="C78" s="129" t="n"/>
      <c r="D78" s="90" t="inlineStr">
        <is>
          <t>日</t>
        </is>
      </c>
      <c r="E78" s="130" t="n"/>
      <c r="F78" s="131" t="n"/>
      <c r="G78" s="132">
        <f>DATE(B77,E77,1)</f>
        <v/>
      </c>
      <c r="H78" s="132">
        <f>IF(G78="","",IF(DAY(G78+1)=1,"",G78+1))</f>
        <v/>
      </c>
      <c r="I78" s="132">
        <f>IF(H78="","",IF(DAY(H78+1)=1,"",H78+1))</f>
        <v/>
      </c>
      <c r="J78" s="132">
        <f>IF(I78="","",IF(DAY(I78+1)=1,"",I78+1))</f>
        <v/>
      </c>
      <c r="K78" s="132">
        <f>IF(J78="","",IF(DAY(J78+1)=1,"",J78+1))</f>
        <v/>
      </c>
      <c r="L78" s="132">
        <f>IF(K78="","",IF(DAY(K78+1)=1,"",K78+1))</f>
        <v/>
      </c>
      <c r="M78" s="132">
        <f>IF(L78="","",IF(DAY(L78+1)=1,"",L78+1))</f>
        <v/>
      </c>
      <c r="N78" s="132">
        <f>IF(M78="","",IF(DAY(M78+1)=1,"",M78+1))</f>
        <v/>
      </c>
      <c r="O78" s="132">
        <f>IF(N78="","",IF(DAY(N78+1)=1,"",N78+1))</f>
        <v/>
      </c>
      <c r="P78" s="132">
        <f>IF(O78="","",IF(DAY(O78+1)=1,"",O78+1))</f>
        <v/>
      </c>
      <c r="Q78" s="132">
        <f>IF(P78="","",IF(DAY(P78+1)=1,"",P78+1))</f>
        <v/>
      </c>
      <c r="R78" s="132">
        <f>IF(Q78="","",IF(DAY(Q78+1)=1,"",Q78+1))</f>
        <v/>
      </c>
      <c r="S78" s="132">
        <f>IF(R78="","",IF(DAY(R78+1)=1,"",R78+1))</f>
        <v/>
      </c>
      <c r="T78" s="132">
        <f>IF(S78="","",IF(DAY(S78+1)=1,"",S78+1))</f>
        <v/>
      </c>
      <c r="U78" s="132">
        <f>IF(T78="","",IF(DAY(T78+1)=1,"",T78+1))</f>
        <v/>
      </c>
      <c r="V78" s="132">
        <f>IF(U78="","",IF(DAY(U78+1)=1,"",U78+1))</f>
        <v/>
      </c>
      <c r="W78" s="132">
        <f>IF(V78="","",IF(DAY(V78+1)=1,"",V78+1))</f>
        <v/>
      </c>
      <c r="X78" s="132">
        <f>IF(W78="","",IF(DAY(W78+1)=1,"",W78+1))</f>
        <v/>
      </c>
      <c r="Y78" s="132">
        <f>IF(X78="","",IF(DAY(X78+1)=1,"",X78+1))</f>
        <v/>
      </c>
      <c r="Z78" s="132">
        <f>IF(Y78="","",IF(DAY(Y78+1)=1,"",Y78+1))</f>
        <v/>
      </c>
      <c r="AA78" s="132">
        <f>IF(Z78="","",IF(DAY(Z78+1)=1,"",Z78+1))</f>
        <v/>
      </c>
      <c r="AB78" s="132">
        <f>IF(AA78="","",IF(DAY(AA78+1)=1,"",AA78+1))</f>
        <v/>
      </c>
      <c r="AC78" s="132">
        <f>IF(AB78="","",IF(DAY(AB78+1)=1,"",AB78+1))</f>
        <v/>
      </c>
      <c r="AD78" s="132">
        <f>IF(AC78="","",IF(DAY(AC78+1)=1,"",AC78+1))</f>
        <v/>
      </c>
      <c r="AE78" s="132">
        <f>IF(AD78="","",IF(DAY(AD78+1)=1,"",AD78+1))</f>
        <v/>
      </c>
      <c r="AF78" s="132">
        <f>IF(AE78="","",IF(DAY(AE78+1)=1,"",AE78+1))</f>
        <v/>
      </c>
      <c r="AG78" s="132">
        <f>IF(AF78="","",IF(DAY(AF78+1)=1,"",AF78+1))</f>
        <v/>
      </c>
      <c r="AH78" s="132">
        <f>IF(AG78="","",IF(DAY(AG78+1)=1,"",AG78+1))</f>
        <v/>
      </c>
      <c r="AI78" s="132">
        <f>IF(AH78="","",IF(DAY(AH78+1)=1,"",AH78+1))</f>
        <v/>
      </c>
      <c r="AJ78" s="132">
        <f>IF(AI78="","",IF(DAY(AI78+1)=1,"",AI78+1))</f>
        <v/>
      </c>
      <c r="AK78" s="132">
        <f>IF(AJ78="","",IF(DAY(AJ78+1)=1,"",AJ78+1))</f>
        <v/>
      </c>
      <c r="AL78" s="133" t="inlineStr">
        <is>
          <t>Total</t>
        </is>
      </c>
      <c r="AM78" s="7" t="n"/>
      <c r="AN78" s="21" t="n"/>
      <c r="AO78" s="20" t="n"/>
    </row>
    <row r="79" ht="20.25" customFormat="1" customHeight="1" s="11">
      <c r="A79" s="134" t="n"/>
      <c r="B79" s="135" t="n"/>
      <c r="C79" s="136" t="n"/>
      <c r="D79" s="92" t="inlineStr">
        <is>
          <t>時間</t>
        </is>
      </c>
      <c r="E79" s="137" t="n"/>
      <c r="F79" s="138" t="n"/>
      <c r="G79" s="139">
        <f>+G78</f>
        <v/>
      </c>
      <c r="H79" s="139">
        <f>+H78</f>
        <v/>
      </c>
      <c r="I79" s="139">
        <f>+I78</f>
        <v/>
      </c>
      <c r="J79" s="139">
        <f>+J78</f>
        <v/>
      </c>
      <c r="K79" s="139">
        <f>+K78</f>
        <v/>
      </c>
      <c r="L79" s="139">
        <f>+L78</f>
        <v/>
      </c>
      <c r="M79" s="139">
        <f>+M78</f>
        <v/>
      </c>
      <c r="N79" s="139">
        <f>+N78</f>
        <v/>
      </c>
      <c r="O79" s="139">
        <f>+O78</f>
        <v/>
      </c>
      <c r="P79" s="139">
        <f>+P78</f>
        <v/>
      </c>
      <c r="Q79" s="139">
        <f>+Q78</f>
        <v/>
      </c>
      <c r="R79" s="139">
        <f>+R78</f>
        <v/>
      </c>
      <c r="S79" s="139">
        <f>+S78</f>
        <v/>
      </c>
      <c r="T79" s="139">
        <f>+T78</f>
        <v/>
      </c>
      <c r="U79" s="139">
        <f>+U78</f>
        <v/>
      </c>
      <c r="V79" s="139">
        <f>+V78</f>
        <v/>
      </c>
      <c r="W79" s="139">
        <f>+W78</f>
        <v/>
      </c>
      <c r="X79" s="139">
        <f>+X78</f>
        <v/>
      </c>
      <c r="Y79" s="139">
        <f>+Y78</f>
        <v/>
      </c>
      <c r="Z79" s="139">
        <f>+Z78</f>
        <v/>
      </c>
      <c r="AA79" s="139">
        <f>+AA78</f>
        <v/>
      </c>
      <c r="AB79" s="139">
        <f>+AB78</f>
        <v/>
      </c>
      <c r="AC79" s="139">
        <f>+AC78</f>
        <v/>
      </c>
      <c r="AD79" s="139">
        <f>+AD78</f>
        <v/>
      </c>
      <c r="AE79" s="139">
        <f>+AE78</f>
        <v/>
      </c>
      <c r="AF79" s="139">
        <f>+AF78</f>
        <v/>
      </c>
      <c r="AG79" s="139">
        <f>+AG78</f>
        <v/>
      </c>
      <c r="AH79" s="139">
        <f>+AH78</f>
        <v/>
      </c>
      <c r="AI79" s="139">
        <f>+AI78</f>
        <v/>
      </c>
      <c r="AJ79" s="139">
        <f>+AJ78</f>
        <v/>
      </c>
      <c r="AK79" s="139">
        <f>+AK78</f>
        <v/>
      </c>
      <c r="AL79" s="140" t="n"/>
      <c r="AN79" s="21" t="n"/>
      <c r="AO79" s="20" t="n"/>
    </row>
    <row r="80" ht="56.25" customFormat="1" customHeight="1" s="11">
      <c r="A80" s="134" t="n"/>
      <c r="B80" s="141" t="inlineStr">
        <is>
          <t>PO 注文書</t>
        </is>
      </c>
      <c r="C80" s="142" t="n"/>
      <c r="D80" s="142" t="n"/>
      <c r="E80" s="142" t="n"/>
      <c r="F80" s="143" t="n"/>
      <c r="G80" s="144" t="n"/>
      <c r="H80" s="145" t="n"/>
      <c r="I80" s="144" t="n"/>
      <c r="J80" s="144" t="n"/>
      <c r="K80" s="144" t="n"/>
      <c r="L80" s="144" t="n"/>
      <c r="M80" s="144">
        <f>5000+2200</f>
        <v/>
      </c>
      <c r="N80" s="144" t="n"/>
      <c r="O80" s="144" t="n"/>
      <c r="P80" s="144" t="n"/>
      <c r="Q80" s="144" t="n"/>
      <c r="R80" s="144" t="n"/>
      <c r="S80" s="144" t="n"/>
      <c r="T80" s="144">
        <f>5000+2200</f>
        <v/>
      </c>
      <c r="U80" s="144" t="n"/>
      <c r="V80" s="144" t="n"/>
      <c r="W80" s="144" t="n"/>
      <c r="X80" s="144" t="n"/>
      <c r="Y80" s="144" t="n"/>
      <c r="Z80" s="144" t="n"/>
      <c r="AA80" s="144">
        <f>5000+2200</f>
        <v/>
      </c>
      <c r="AB80" s="144" t="n"/>
      <c r="AC80" s="144" t="n"/>
      <c r="AD80" s="144" t="n"/>
      <c r="AE80" s="144" t="n"/>
      <c r="AF80" s="144" t="n"/>
      <c r="AG80" s="144" t="n"/>
      <c r="AH80" s="144">
        <f>5000+2200</f>
        <v/>
      </c>
      <c r="AI80" s="144" t="n"/>
      <c r="AJ80" s="144" t="n"/>
      <c r="AK80" s="145" t="n"/>
      <c r="AL80" s="146">
        <f>SUM(G80:AK80)</f>
        <v/>
      </c>
      <c r="AN80" s="147" t="inlineStr">
        <is>
          <t>Tồn PO
注文の 残量</t>
        </is>
      </c>
      <c r="AO80" s="148">
        <f>AO71+AL80-AO81</f>
        <v/>
      </c>
      <c r="AP80" s="169" t="n"/>
    </row>
    <row r="81" ht="56.25" customHeight="1" s="127">
      <c r="A81" s="134" t="n"/>
      <c r="B81" s="96" t="inlineStr">
        <is>
          <t xml:space="preserve">計画数量
kế hoạch </t>
        </is>
      </c>
      <c r="C81" s="149" t="n"/>
      <c r="D81" s="149" t="n"/>
      <c r="E81" s="149" t="n"/>
      <c r="F81" s="150" t="n"/>
      <c r="G81" s="144" t="n"/>
      <c r="H81" s="144" t="n"/>
      <c r="I81" s="144" t="n"/>
      <c r="J81" s="144" t="n"/>
      <c r="K81" s="145" t="n"/>
      <c r="L81" s="144" t="n"/>
      <c r="M81" s="144" t="n"/>
      <c r="N81" s="144" t="n"/>
      <c r="O81" s="144" t="n"/>
      <c r="P81" s="144" t="n">
        <v>10000</v>
      </c>
      <c r="Q81" s="144" t="n"/>
      <c r="R81" s="145" t="n"/>
      <c r="S81" s="144" t="n"/>
      <c r="T81" s="144" t="n"/>
      <c r="U81" s="144" t="n"/>
      <c r="V81" s="144" t="n"/>
      <c r="W81" s="144" t="n"/>
      <c r="X81" s="144" t="n"/>
      <c r="Y81" s="145" t="n"/>
      <c r="Z81" s="144" t="n"/>
      <c r="AA81" s="144" t="n"/>
      <c r="AB81" s="144" t="n"/>
      <c r="AC81" s="144" t="n"/>
      <c r="AD81" s="144" t="n">
        <v>10000</v>
      </c>
      <c r="AE81" s="144" t="n"/>
      <c r="AF81" s="145" t="n"/>
      <c r="AG81" s="144" t="n"/>
      <c r="AH81" s="144" t="n"/>
      <c r="AI81" s="144" t="n"/>
      <c r="AJ81" s="145" t="n"/>
      <c r="AK81" s="145" t="n"/>
      <c r="AL81" s="151">
        <f>SUM(G81:AK81)</f>
        <v/>
      </c>
      <c r="AM81" s="0" t="n"/>
      <c r="AN81" s="24" t="inlineStr">
        <is>
          <t>Tổng nhập 総入荷数量
（A)-(B)+(C)</t>
        </is>
      </c>
      <c r="AO81" s="152">
        <f>AL82-AL83+AL84</f>
        <v/>
      </c>
    </row>
    <row r="82" ht="56.25" customHeight="1" s="127">
      <c r="A82" s="134" t="n"/>
      <c r="B82" s="96" t="inlineStr">
        <is>
          <t>実際の納品数量
số lượng thực nhập</t>
        </is>
      </c>
      <c r="C82" s="149" t="n"/>
      <c r="D82" s="149" t="n"/>
      <c r="E82" s="149" t="n"/>
      <c r="F82" s="150" t="n"/>
      <c r="G82" s="153" t="n"/>
      <c r="H82" s="153" t="n"/>
      <c r="I82" s="154" t="n"/>
      <c r="J82" s="155" t="n"/>
      <c r="K82" s="156" t="n"/>
      <c r="L82" s="156" t="n"/>
      <c r="M82" s="155" t="n"/>
      <c r="N82" s="155" t="n"/>
      <c r="O82" s="155" t="n"/>
      <c r="P82" s="155" t="n">
        <v>10000</v>
      </c>
      <c r="Q82" s="156" t="n"/>
      <c r="R82" s="156" t="n"/>
      <c r="S82" s="156" t="n"/>
      <c r="T82" s="156" t="n"/>
      <c r="U82" s="156" t="n"/>
      <c r="V82" s="156" t="n"/>
      <c r="W82" s="156" t="n"/>
      <c r="X82" s="156" t="n"/>
      <c r="Y82" s="156" t="n"/>
      <c r="Z82" s="156" t="n"/>
      <c r="AA82" s="156" t="n"/>
      <c r="AB82" s="156" t="n"/>
      <c r="AC82" s="155" t="n"/>
      <c r="AD82" s="155" t="n"/>
      <c r="AE82" s="156" t="n"/>
      <c r="AF82" s="156" t="n"/>
      <c r="AG82" s="155" t="n"/>
      <c r="AH82" s="155" t="n"/>
      <c r="AI82" s="156" t="n"/>
      <c r="AJ82" s="156" t="n"/>
      <c r="AK82" s="156" t="n"/>
      <c r="AL82" s="157">
        <f>SUM(G82:AK82)</f>
        <v/>
      </c>
      <c r="AM82" s="6" t="inlineStr">
        <is>
          <t>(A)</t>
        </is>
      </c>
      <c r="AN82" s="24" t="inlineStr">
        <is>
          <t>Số lượng chưa khai tháng trước 先月まだ税関に申告されていない数量</t>
        </is>
      </c>
      <c r="AO82" s="148">
        <f>AO75</f>
        <v/>
      </c>
    </row>
    <row r="83" ht="56.25" customHeight="1" s="127">
      <c r="A83" s="134" t="n"/>
      <c r="B83" s="96" t="inlineStr">
        <is>
          <t>NG数量（DO SUNG 社変更済）
số lượng NG (Trả hàng DO SUNG)</t>
        </is>
      </c>
      <c r="C83" s="149" t="n"/>
      <c r="D83" s="149" t="n"/>
      <c r="E83" s="149" t="n"/>
      <c r="F83" s="150" t="n"/>
      <c r="G83" s="144" t="n"/>
      <c r="H83" s="144" t="n"/>
      <c r="I83" s="144" t="n"/>
      <c r="J83" s="145" t="n"/>
      <c r="K83" s="145" t="n"/>
      <c r="L83" s="145" t="n"/>
      <c r="M83" s="145" t="n"/>
      <c r="N83" s="145" t="n"/>
      <c r="O83" s="145" t="n"/>
      <c r="P83" s="145" t="n">
        <v>10000</v>
      </c>
      <c r="Q83" s="145" t="n"/>
      <c r="R83" s="145" t="n"/>
      <c r="S83" s="145" t="n"/>
      <c r="T83" s="145" t="n"/>
      <c r="U83" s="145" t="n"/>
      <c r="V83" s="145" t="n"/>
      <c r="W83" s="145" t="n"/>
      <c r="X83" s="145" t="n"/>
      <c r="Y83" s="145" t="n"/>
      <c r="Z83" s="145" t="n"/>
      <c r="AA83" s="145" t="n"/>
      <c r="AB83" s="145" t="n"/>
      <c r="AC83" s="145" t="n"/>
      <c r="AD83" s="145" t="n"/>
      <c r="AE83" s="145" t="n"/>
      <c r="AF83" s="145" t="n"/>
      <c r="AG83" s="145" t="n"/>
      <c r="AH83" s="145" t="n"/>
      <c r="AI83" s="145" t="n"/>
      <c r="AJ83" s="145" t="n"/>
      <c r="AK83" s="145" t="n"/>
      <c r="AL83" s="158">
        <f>SUM(G83:AK83)</f>
        <v/>
      </c>
      <c r="AM83" s="6" t="inlineStr">
        <is>
          <t>(B)</t>
        </is>
      </c>
      <c r="AN83" s="24" t="inlineStr">
        <is>
          <t>Số lượng đã khai tháng này 今月税関に申告された数量</t>
        </is>
      </c>
      <c r="AO83" s="26" t="n">
        <v>10000</v>
      </c>
    </row>
    <row r="84" ht="56.25" customHeight="1" s="127" thickBot="1">
      <c r="A84" s="159" t="n"/>
      <c r="B84" s="98" t="inlineStr">
        <is>
          <t>NG数量（DO SUNG　社しゅり済）
số lượng NG (DO SUNG đã sửa )</t>
        </is>
      </c>
      <c r="C84" s="160" t="n"/>
      <c r="D84" s="160" t="n"/>
      <c r="E84" s="160" t="n"/>
      <c r="F84" s="161" t="n"/>
      <c r="G84" s="162" t="n"/>
      <c r="H84" s="162" t="n"/>
      <c r="I84" s="163" t="n"/>
      <c r="J84" s="164" t="n"/>
      <c r="K84" s="165" t="n"/>
      <c r="L84" s="164" t="n"/>
      <c r="M84" s="164" t="n"/>
      <c r="N84" s="164" t="n"/>
      <c r="O84" s="164" t="n"/>
      <c r="P84" s="164" t="n"/>
      <c r="Q84" s="164" t="n"/>
      <c r="R84" s="165" t="n"/>
      <c r="S84" s="164" t="n"/>
      <c r="T84" s="164" t="n">
        <v>10000</v>
      </c>
      <c r="U84" s="164" t="n"/>
      <c r="V84" s="164" t="n"/>
      <c r="W84" s="164" t="n"/>
      <c r="X84" s="164" t="n"/>
      <c r="Y84" s="165" t="n"/>
      <c r="Z84" s="164" t="n"/>
      <c r="AA84" s="164" t="n"/>
      <c r="AB84" s="164" t="n"/>
      <c r="AC84" s="164" t="n"/>
      <c r="AD84" s="164" t="n"/>
      <c r="AE84" s="165" t="n"/>
      <c r="AF84" s="165" t="n"/>
      <c r="AG84" s="164" t="n"/>
      <c r="AH84" s="164" t="n"/>
      <c r="AI84" s="164" t="n"/>
      <c r="AJ84" s="165" t="n"/>
      <c r="AK84" s="165" t="n"/>
      <c r="AL84" s="166">
        <f>SUM(G84:AK84)</f>
        <v/>
      </c>
      <c r="AM84" s="6" t="inlineStr">
        <is>
          <t>(C)</t>
        </is>
      </c>
      <c r="AN84" s="24" t="inlineStr">
        <is>
          <t>Số lượng còn lại chưa khai 残りの数量はまだ税関に申告されていません</t>
        </is>
      </c>
      <c r="AO84" s="148">
        <f>AO82+AO81-AO83</f>
        <v/>
      </c>
    </row>
    <row r="85">
      <c r="AO85" s="168" t="n"/>
    </row>
    <row r="86" ht="21" customHeight="1" s="127" thickBot="1">
      <c r="B86" s="85" t="n">
        <v>2026</v>
      </c>
      <c r="D86" s="85" t="inlineStr">
        <is>
          <t>年</t>
        </is>
      </c>
      <c r="E86" s="85" t="n">
        <v>10</v>
      </c>
      <c r="F86" s="29" t="inlineStr">
        <is>
          <t>月</t>
        </is>
      </c>
      <c r="G86" s="8" t="n"/>
      <c r="H86" s="3" t="n"/>
      <c r="I86" s="3" t="n"/>
      <c r="J86" s="5" t="n"/>
      <c r="K86" s="5" t="n"/>
      <c r="L86" s="5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7" t="n"/>
    </row>
    <row r="87" ht="20.25" customFormat="1" customHeight="1" s="11">
      <c r="A87" s="128" t="inlineStr">
        <is>
          <t>JOINTER
PAR-011</t>
        </is>
      </c>
      <c r="B87" s="89" t="inlineStr">
        <is>
          <t>輸送</t>
        </is>
      </c>
      <c r="C87" s="129" t="n"/>
      <c r="D87" s="90" t="inlineStr">
        <is>
          <t>日</t>
        </is>
      </c>
      <c r="E87" s="130" t="n"/>
      <c r="F87" s="131" t="n"/>
      <c r="G87" s="132">
        <f>DATE(B86,E86,1)</f>
        <v/>
      </c>
      <c r="H87" s="132">
        <f>IF(G87="","",IF(DAY(G87+1)=1,"",G87+1))</f>
        <v/>
      </c>
      <c r="I87" s="132">
        <f>IF(H87="","",IF(DAY(H87+1)=1,"",H87+1))</f>
        <v/>
      </c>
      <c r="J87" s="132">
        <f>IF(I87="","",IF(DAY(I87+1)=1,"",I87+1))</f>
        <v/>
      </c>
      <c r="K87" s="132">
        <f>IF(J87="","",IF(DAY(J87+1)=1,"",J87+1))</f>
        <v/>
      </c>
      <c r="L87" s="132">
        <f>IF(K87="","",IF(DAY(K87+1)=1,"",K87+1))</f>
        <v/>
      </c>
      <c r="M87" s="132">
        <f>IF(L87="","",IF(DAY(L87+1)=1,"",L87+1))</f>
        <v/>
      </c>
      <c r="N87" s="132">
        <f>IF(M87="","",IF(DAY(M87+1)=1,"",M87+1))</f>
        <v/>
      </c>
      <c r="O87" s="132">
        <f>IF(N87="","",IF(DAY(N87+1)=1,"",N87+1))</f>
        <v/>
      </c>
      <c r="P87" s="132">
        <f>IF(O87="","",IF(DAY(O87+1)=1,"",O87+1))</f>
        <v/>
      </c>
      <c r="Q87" s="132">
        <f>IF(P87="","",IF(DAY(P87+1)=1,"",P87+1))</f>
        <v/>
      </c>
      <c r="R87" s="132">
        <f>IF(Q87="","",IF(DAY(Q87+1)=1,"",Q87+1))</f>
        <v/>
      </c>
      <c r="S87" s="132">
        <f>IF(R87="","",IF(DAY(R87+1)=1,"",R87+1))</f>
        <v/>
      </c>
      <c r="T87" s="132">
        <f>IF(S87="","",IF(DAY(S87+1)=1,"",S87+1))</f>
        <v/>
      </c>
      <c r="U87" s="132">
        <f>IF(T87="","",IF(DAY(T87+1)=1,"",T87+1))</f>
        <v/>
      </c>
      <c r="V87" s="132">
        <f>IF(U87="","",IF(DAY(U87+1)=1,"",U87+1))</f>
        <v/>
      </c>
      <c r="W87" s="132">
        <f>IF(V87="","",IF(DAY(V87+1)=1,"",V87+1))</f>
        <v/>
      </c>
      <c r="X87" s="132">
        <f>IF(W87="","",IF(DAY(W87+1)=1,"",W87+1))</f>
        <v/>
      </c>
      <c r="Y87" s="132">
        <f>IF(X87="","",IF(DAY(X87+1)=1,"",X87+1))</f>
        <v/>
      </c>
      <c r="Z87" s="132">
        <f>IF(Y87="","",IF(DAY(Y87+1)=1,"",Y87+1))</f>
        <v/>
      </c>
      <c r="AA87" s="132">
        <f>IF(Z87="","",IF(DAY(Z87+1)=1,"",Z87+1))</f>
        <v/>
      </c>
      <c r="AB87" s="132">
        <f>IF(AA87="","",IF(DAY(AA87+1)=1,"",AA87+1))</f>
        <v/>
      </c>
      <c r="AC87" s="132">
        <f>IF(AB87="","",IF(DAY(AB87+1)=1,"",AB87+1))</f>
        <v/>
      </c>
      <c r="AD87" s="132">
        <f>IF(AC87="","",IF(DAY(AC87+1)=1,"",AC87+1))</f>
        <v/>
      </c>
      <c r="AE87" s="132">
        <f>IF(AD87="","",IF(DAY(AD87+1)=1,"",AD87+1))</f>
        <v/>
      </c>
      <c r="AF87" s="132">
        <f>IF(AE87="","",IF(DAY(AE87+1)=1,"",AE87+1))</f>
        <v/>
      </c>
      <c r="AG87" s="132">
        <f>IF(AF87="","",IF(DAY(AF87+1)=1,"",AF87+1))</f>
        <v/>
      </c>
      <c r="AH87" s="132">
        <f>IF(AG87="","",IF(DAY(AG87+1)=1,"",AG87+1))</f>
        <v/>
      </c>
      <c r="AI87" s="132">
        <f>IF(AH87="","",IF(DAY(AH87+1)=1,"",AH87+1))</f>
        <v/>
      </c>
      <c r="AJ87" s="132">
        <f>IF(AI87="","",IF(DAY(AI87+1)=1,"",AI87+1))</f>
        <v/>
      </c>
      <c r="AK87" s="132">
        <f>IF(AJ87="","",IF(DAY(AJ87+1)=1,"",AJ87+1))</f>
        <v/>
      </c>
      <c r="AL87" s="133" t="inlineStr">
        <is>
          <t>Total</t>
        </is>
      </c>
      <c r="AM87" s="7" t="n"/>
      <c r="AN87" s="21" t="n"/>
      <c r="AO87" s="20" t="n"/>
    </row>
    <row r="88" ht="20.25" customFormat="1" customHeight="1" s="11">
      <c r="A88" s="134" t="n"/>
      <c r="B88" s="135" t="n"/>
      <c r="C88" s="136" t="n"/>
      <c r="D88" s="92" t="inlineStr">
        <is>
          <t>時間</t>
        </is>
      </c>
      <c r="E88" s="137" t="n"/>
      <c r="F88" s="138" t="n"/>
      <c r="G88" s="139">
        <f>+G87</f>
        <v/>
      </c>
      <c r="H88" s="139">
        <f>+H87</f>
        <v/>
      </c>
      <c r="I88" s="139">
        <f>+I87</f>
        <v/>
      </c>
      <c r="J88" s="139">
        <f>+J87</f>
        <v/>
      </c>
      <c r="K88" s="139">
        <f>+K87</f>
        <v/>
      </c>
      <c r="L88" s="139">
        <f>+L87</f>
        <v/>
      </c>
      <c r="M88" s="139">
        <f>+M87</f>
        <v/>
      </c>
      <c r="N88" s="139">
        <f>+N87</f>
        <v/>
      </c>
      <c r="O88" s="139">
        <f>+O87</f>
        <v/>
      </c>
      <c r="P88" s="139">
        <f>+P87</f>
        <v/>
      </c>
      <c r="Q88" s="139">
        <f>+Q87</f>
        <v/>
      </c>
      <c r="R88" s="139">
        <f>+R87</f>
        <v/>
      </c>
      <c r="S88" s="139">
        <f>+S87</f>
        <v/>
      </c>
      <c r="T88" s="139">
        <f>+T87</f>
        <v/>
      </c>
      <c r="U88" s="139">
        <f>+U87</f>
        <v/>
      </c>
      <c r="V88" s="139">
        <f>+V87</f>
        <v/>
      </c>
      <c r="W88" s="139">
        <f>+W87</f>
        <v/>
      </c>
      <c r="X88" s="139">
        <f>+X87</f>
        <v/>
      </c>
      <c r="Y88" s="139">
        <f>+Y87</f>
        <v/>
      </c>
      <c r="Z88" s="139">
        <f>+Z87</f>
        <v/>
      </c>
      <c r="AA88" s="139">
        <f>+AA87</f>
        <v/>
      </c>
      <c r="AB88" s="139">
        <f>+AB87</f>
        <v/>
      </c>
      <c r="AC88" s="139">
        <f>+AC87</f>
        <v/>
      </c>
      <c r="AD88" s="139">
        <f>+AD87</f>
        <v/>
      </c>
      <c r="AE88" s="139">
        <f>+AE87</f>
        <v/>
      </c>
      <c r="AF88" s="139">
        <f>+AF87</f>
        <v/>
      </c>
      <c r="AG88" s="139">
        <f>+AG87</f>
        <v/>
      </c>
      <c r="AH88" s="139">
        <f>+AH87</f>
        <v/>
      </c>
      <c r="AI88" s="139">
        <f>+AI87</f>
        <v/>
      </c>
      <c r="AJ88" s="139">
        <f>+AJ87</f>
        <v/>
      </c>
      <c r="AK88" s="139">
        <f>+AK87</f>
        <v/>
      </c>
      <c r="AL88" s="140" t="n"/>
      <c r="AN88" s="21" t="n"/>
      <c r="AO88" s="20" t="n"/>
    </row>
    <row r="89" ht="56.25" customFormat="1" customHeight="1" s="11">
      <c r="A89" s="134" t="n"/>
      <c r="B89" s="141" t="inlineStr">
        <is>
          <t>PO 注文書</t>
        </is>
      </c>
      <c r="C89" s="142" t="n"/>
      <c r="D89" s="142" t="n"/>
      <c r="E89" s="142" t="n"/>
      <c r="F89" s="143" t="n"/>
      <c r="G89" s="144" t="n"/>
      <c r="H89" s="145" t="n"/>
      <c r="I89" s="144" t="n"/>
      <c r="J89" s="144" t="n"/>
      <c r="K89" s="144" t="n">
        <v>6400</v>
      </c>
      <c r="L89" s="144" t="n"/>
      <c r="M89" s="144" t="n"/>
      <c r="N89" s="144" t="n"/>
      <c r="O89" s="144" t="n"/>
      <c r="P89" s="144" t="n"/>
      <c r="Q89" s="144" t="n"/>
      <c r="R89" s="144" t="n"/>
      <c r="S89" s="144" t="n"/>
      <c r="T89" s="144" t="n"/>
      <c r="U89" s="144" t="n"/>
      <c r="V89" s="144" t="n"/>
      <c r="W89" s="144" t="n"/>
      <c r="X89" s="144" t="n"/>
      <c r="Y89" s="144" t="n"/>
      <c r="Z89" s="144" t="n"/>
      <c r="AA89" s="144" t="n"/>
      <c r="AB89" s="144" t="n"/>
      <c r="AC89" s="144" t="n"/>
      <c r="AD89" s="144" t="n"/>
      <c r="AE89" s="144" t="n"/>
      <c r="AF89" s="144" t="n"/>
      <c r="AG89" s="144" t="n"/>
      <c r="AH89" s="144" t="n"/>
      <c r="AI89" s="144" t="n"/>
      <c r="AJ89" s="144" t="n"/>
      <c r="AK89" s="145" t="n"/>
      <c r="AL89" s="146">
        <f>SUM(G89:AK89)</f>
        <v/>
      </c>
      <c r="AN89" s="147" t="inlineStr">
        <is>
          <t>Tồn PO
注文の 残量</t>
        </is>
      </c>
      <c r="AO89" s="148">
        <f>AO80+AL89-AO90</f>
        <v/>
      </c>
      <c r="AP89" s="169" t="n"/>
    </row>
    <row r="90" ht="56.25" customHeight="1" s="127">
      <c r="A90" s="134" t="n"/>
      <c r="B90" s="96" t="inlineStr">
        <is>
          <t xml:space="preserve">計画数量
kế hoạch </t>
        </is>
      </c>
      <c r="C90" s="149" t="n"/>
      <c r="D90" s="149" t="n"/>
      <c r="E90" s="149" t="n"/>
      <c r="F90" s="150" t="n"/>
      <c r="G90" s="144" t="n"/>
      <c r="H90" s="144" t="n"/>
      <c r="I90" s="144" t="n"/>
      <c r="J90" s="144" t="n"/>
      <c r="K90" s="145" t="n"/>
      <c r="L90" s="144" t="n"/>
      <c r="M90" s="144" t="n"/>
      <c r="N90" s="144" t="n"/>
      <c r="O90" s="144" t="n"/>
      <c r="P90" s="144" t="n"/>
      <c r="Q90" s="144" t="n"/>
      <c r="R90" s="145" t="n"/>
      <c r="S90" s="144" t="n"/>
      <c r="T90" s="144" t="n"/>
      <c r="U90" s="144" t="n"/>
      <c r="V90" s="144" t="n"/>
      <c r="W90" s="144" t="n"/>
      <c r="X90" s="144" t="n"/>
      <c r="Y90" s="145" t="n"/>
      <c r="Z90" s="144" t="n"/>
      <c r="AA90" s="144" t="n"/>
      <c r="AB90" s="144" t="n"/>
      <c r="AC90" s="144" t="n"/>
      <c r="AD90" s="144" t="n"/>
      <c r="AE90" s="144" t="n"/>
      <c r="AF90" s="145" t="n"/>
      <c r="AG90" s="144" t="n"/>
      <c r="AH90" s="144" t="n"/>
      <c r="AI90" s="144" t="n"/>
      <c r="AJ90" s="145" t="n"/>
      <c r="AK90" s="145" t="n"/>
      <c r="AL90" s="151">
        <f>SUM(G90:AK90)</f>
        <v/>
      </c>
      <c r="AM90" s="0" t="n"/>
      <c r="AN90" s="24" t="inlineStr">
        <is>
          <t>Tổng nhập 総入荷数量
（A)-(B)+(C)</t>
        </is>
      </c>
      <c r="AO90" s="152">
        <f>AL91-AL92+AL93</f>
        <v/>
      </c>
    </row>
    <row r="91" ht="56.25" customHeight="1" s="127">
      <c r="A91" s="134" t="n"/>
      <c r="B91" s="96" t="inlineStr">
        <is>
          <t>実際の納品数量
số lượng thực nhập</t>
        </is>
      </c>
      <c r="C91" s="149" t="n"/>
      <c r="D91" s="149" t="n"/>
      <c r="E91" s="149" t="n"/>
      <c r="F91" s="150" t="n"/>
      <c r="G91" s="153" t="n"/>
      <c r="H91" s="153" t="n"/>
      <c r="I91" s="154" t="n"/>
      <c r="J91" s="155" t="n"/>
      <c r="K91" s="156" t="n"/>
      <c r="L91" s="156" t="n"/>
      <c r="M91" s="155" t="n"/>
      <c r="N91" s="155" t="n"/>
      <c r="O91" s="155" t="n"/>
      <c r="P91" s="155" t="n"/>
      <c r="Q91" s="156" t="n"/>
      <c r="R91" s="156" t="n"/>
      <c r="S91" s="156" t="n"/>
      <c r="T91" s="156" t="n"/>
      <c r="U91" s="156" t="n"/>
      <c r="V91" s="156" t="n"/>
      <c r="W91" s="156" t="n"/>
      <c r="X91" s="156" t="n"/>
      <c r="Y91" s="156" t="n"/>
      <c r="Z91" s="156" t="n"/>
      <c r="AA91" s="156" t="n"/>
      <c r="AB91" s="156" t="n"/>
      <c r="AC91" s="155" t="n"/>
      <c r="AD91" s="155" t="n"/>
      <c r="AE91" s="156" t="n"/>
      <c r="AF91" s="156" t="n"/>
      <c r="AG91" s="155" t="n"/>
      <c r="AH91" s="155" t="n"/>
      <c r="AI91" s="156" t="n"/>
      <c r="AJ91" s="156" t="n"/>
      <c r="AK91" s="156" t="n"/>
      <c r="AL91" s="157">
        <f>SUM(G91:AK91)</f>
        <v/>
      </c>
      <c r="AM91" s="6" t="inlineStr">
        <is>
          <t>(A)</t>
        </is>
      </c>
      <c r="AN91" s="24" t="inlineStr">
        <is>
          <t>Số lượng chưa khai tháng trước 先月まだ税関に申告されていない数量</t>
        </is>
      </c>
      <c r="AO91" s="148">
        <f>AO84</f>
        <v/>
      </c>
    </row>
    <row r="92" ht="56.25" customHeight="1" s="127">
      <c r="A92" s="134" t="n"/>
      <c r="B92" s="96" t="inlineStr">
        <is>
          <t>NG数量（DO SUNG 社変更済）
số lượng NG (Trả hàng DO SUNG)</t>
        </is>
      </c>
      <c r="C92" s="149" t="n"/>
      <c r="D92" s="149" t="n"/>
      <c r="E92" s="149" t="n"/>
      <c r="F92" s="150" t="n"/>
      <c r="G92" s="144" t="n"/>
      <c r="H92" s="144" t="n"/>
      <c r="I92" s="144" t="n"/>
      <c r="J92" s="145" t="n"/>
      <c r="K92" s="145" t="n"/>
      <c r="L92" s="145" t="n"/>
      <c r="M92" s="145" t="n"/>
      <c r="N92" s="145" t="n"/>
      <c r="O92" s="145" t="n"/>
      <c r="P92" s="145" t="n"/>
      <c r="Q92" s="145" t="n"/>
      <c r="R92" s="145" t="n"/>
      <c r="S92" s="145" t="n"/>
      <c r="T92" s="145" t="n"/>
      <c r="U92" s="145" t="n"/>
      <c r="V92" s="145" t="n"/>
      <c r="W92" s="145" t="n"/>
      <c r="X92" s="145" t="n"/>
      <c r="Y92" s="145" t="n"/>
      <c r="Z92" s="145" t="n"/>
      <c r="AA92" s="145" t="n"/>
      <c r="AB92" s="145" t="n"/>
      <c r="AC92" s="145" t="n"/>
      <c r="AD92" s="145" t="n"/>
      <c r="AE92" s="145" t="n"/>
      <c r="AF92" s="145" t="n"/>
      <c r="AG92" s="145" t="n"/>
      <c r="AH92" s="145" t="n"/>
      <c r="AI92" s="145" t="n"/>
      <c r="AJ92" s="145" t="n"/>
      <c r="AK92" s="145" t="n"/>
      <c r="AL92" s="158">
        <f>SUM(G92:AK92)</f>
        <v/>
      </c>
      <c r="AM92" s="6" t="inlineStr">
        <is>
          <t>(B)</t>
        </is>
      </c>
      <c r="AN92" s="24" t="inlineStr">
        <is>
          <t>Số lượng đã khai tháng này 今月税関に申告された数量</t>
        </is>
      </c>
      <c r="AO92" s="26" t="n"/>
    </row>
    <row r="93" ht="56.25" customHeight="1" s="127" thickBot="1">
      <c r="A93" s="159" t="n"/>
      <c r="B93" s="98" t="inlineStr">
        <is>
          <t>NG数量（DO SUNG　社しゅり済）
số lượng NG (DO SUNG đã sửa )</t>
        </is>
      </c>
      <c r="C93" s="160" t="n"/>
      <c r="D93" s="160" t="n"/>
      <c r="E93" s="160" t="n"/>
      <c r="F93" s="161" t="n"/>
      <c r="G93" s="162" t="n"/>
      <c r="H93" s="162" t="n"/>
      <c r="I93" s="163" t="n"/>
      <c r="J93" s="164" t="n"/>
      <c r="K93" s="165" t="n"/>
      <c r="L93" s="164" t="n"/>
      <c r="M93" s="164" t="n"/>
      <c r="N93" s="164" t="n"/>
      <c r="O93" s="164" t="n"/>
      <c r="P93" s="164" t="n"/>
      <c r="Q93" s="164" t="n"/>
      <c r="R93" s="165" t="n"/>
      <c r="S93" s="164" t="n"/>
      <c r="T93" s="164" t="n"/>
      <c r="U93" s="164" t="n"/>
      <c r="V93" s="164" t="n"/>
      <c r="W93" s="164" t="n"/>
      <c r="X93" s="164" t="n"/>
      <c r="Y93" s="165" t="n"/>
      <c r="Z93" s="164" t="n"/>
      <c r="AA93" s="164" t="n"/>
      <c r="AB93" s="164" t="n"/>
      <c r="AC93" s="164" t="n"/>
      <c r="AD93" s="164" t="n"/>
      <c r="AE93" s="165" t="n"/>
      <c r="AF93" s="165" t="n"/>
      <c r="AG93" s="164" t="n"/>
      <c r="AH93" s="164" t="n"/>
      <c r="AI93" s="164" t="n"/>
      <c r="AJ93" s="165" t="n"/>
      <c r="AK93" s="165" t="n"/>
      <c r="AL93" s="166">
        <f>SUM(G93:AK93)</f>
        <v/>
      </c>
      <c r="AM93" s="6" t="inlineStr">
        <is>
          <t>(C)</t>
        </is>
      </c>
      <c r="AN93" s="24" t="inlineStr">
        <is>
          <t>Số lượng còn lại chưa khai 残りの数量はまだ税関に申告されていません</t>
        </is>
      </c>
      <c r="AO93" s="148">
        <f>AO91+AO90-AO92</f>
        <v/>
      </c>
    </row>
    <row r="94">
      <c r="AO94" s="168" t="n"/>
    </row>
    <row r="95">
      <c r="AO95" s="168" t="n"/>
    </row>
  </sheetData>
  <mergeCells count="112">
    <mergeCell ref="B60:C61"/>
    <mergeCell ref="B81:F81"/>
    <mergeCell ref="B90:F90"/>
    <mergeCell ref="B71:F71"/>
    <mergeCell ref="B18:F18"/>
    <mergeCell ref="B27:F27"/>
    <mergeCell ref="B77:C77"/>
    <mergeCell ref="B86:C86"/>
    <mergeCell ref="B11:F11"/>
    <mergeCell ref="B14:C14"/>
    <mergeCell ref="A15:A21"/>
    <mergeCell ref="B44:F44"/>
    <mergeCell ref="B53:F53"/>
    <mergeCell ref="B28:F28"/>
    <mergeCell ref="B37:F37"/>
    <mergeCell ref="B84:F84"/>
    <mergeCell ref="B92:F92"/>
    <mergeCell ref="B30:F30"/>
    <mergeCell ref="B20:F20"/>
    <mergeCell ref="A60:A66"/>
    <mergeCell ref="AL78:AL79"/>
    <mergeCell ref="A69:A75"/>
    <mergeCell ref="B80:F80"/>
    <mergeCell ref="B32:C32"/>
    <mergeCell ref="B41:C41"/>
    <mergeCell ref="B54:F54"/>
    <mergeCell ref="B72:F72"/>
    <mergeCell ref="B56:F56"/>
    <mergeCell ref="D43:F43"/>
    <mergeCell ref="B33:C34"/>
    <mergeCell ref="A42:A48"/>
    <mergeCell ref="B8:F8"/>
    <mergeCell ref="D25:F25"/>
    <mergeCell ref="B17:F17"/>
    <mergeCell ref="B57:F57"/>
    <mergeCell ref="B82:F82"/>
    <mergeCell ref="B10:F10"/>
    <mergeCell ref="B19:F19"/>
    <mergeCell ref="D60:F60"/>
    <mergeCell ref="AL69:AL70"/>
    <mergeCell ref="D69:F69"/>
    <mergeCell ref="B9:F9"/>
    <mergeCell ref="B74:F74"/>
    <mergeCell ref="B83:F83"/>
    <mergeCell ref="A51:A57"/>
    <mergeCell ref="B45:F45"/>
    <mergeCell ref="AL15:AL16"/>
    <mergeCell ref="B75:F75"/>
    <mergeCell ref="B47:F47"/>
    <mergeCell ref="B62:F62"/>
    <mergeCell ref="B15:C16"/>
    <mergeCell ref="B24:C25"/>
    <mergeCell ref="B46:F46"/>
    <mergeCell ref="D7:F7"/>
    <mergeCell ref="D78:F78"/>
    <mergeCell ref="D16:F16"/>
    <mergeCell ref="B87:C88"/>
    <mergeCell ref="D87:F87"/>
    <mergeCell ref="B21:F21"/>
    <mergeCell ref="B39:F39"/>
    <mergeCell ref="B48:F48"/>
    <mergeCell ref="A33:A39"/>
    <mergeCell ref="D33:F33"/>
    <mergeCell ref="B51:C52"/>
    <mergeCell ref="D42:F42"/>
    <mergeCell ref="D51:F51"/>
    <mergeCell ref="B73:F73"/>
    <mergeCell ref="AL33:AL34"/>
    <mergeCell ref="AL42:AL43"/>
    <mergeCell ref="D34:F34"/>
    <mergeCell ref="B65:F65"/>
    <mergeCell ref="B5:C5"/>
    <mergeCell ref="B42:C43"/>
    <mergeCell ref="B63:F63"/>
    <mergeCell ref="B36:F36"/>
    <mergeCell ref="AL6:AL7"/>
    <mergeCell ref="D6:F6"/>
    <mergeCell ref="A87:A93"/>
    <mergeCell ref="B69:C70"/>
    <mergeCell ref="AG4:AK4"/>
    <mergeCell ref="B91:F91"/>
    <mergeCell ref="B78:C79"/>
    <mergeCell ref="B59:C59"/>
    <mergeCell ref="D61:F61"/>
    <mergeCell ref="B66:F66"/>
    <mergeCell ref="D70:F70"/>
    <mergeCell ref="B6:C7"/>
    <mergeCell ref="B93:F93"/>
    <mergeCell ref="B12:F12"/>
    <mergeCell ref="B23:C23"/>
    <mergeCell ref="D15:F15"/>
    <mergeCell ref="AL24:AL25"/>
    <mergeCell ref="D24:F24"/>
    <mergeCell ref="B29:F29"/>
    <mergeCell ref="B38:F38"/>
    <mergeCell ref="AL87:AL88"/>
    <mergeCell ref="D79:F79"/>
    <mergeCell ref="D88:F88"/>
    <mergeCell ref="A24:A30"/>
    <mergeCell ref="B1:AM3"/>
    <mergeCell ref="B68:C68"/>
    <mergeCell ref="B55:F55"/>
    <mergeCell ref="AL51:AL52"/>
    <mergeCell ref="B64:F64"/>
    <mergeCell ref="A78:A84"/>
    <mergeCell ref="B89:F89"/>
    <mergeCell ref="AL60:AL61"/>
    <mergeCell ref="B50:C50"/>
    <mergeCell ref="A6:A12"/>
    <mergeCell ref="D52:F52"/>
    <mergeCell ref="B26:F26"/>
    <mergeCell ref="B35:F35"/>
  </mergeCells>
  <conditionalFormatting sqref="G6:AK7">
    <cfRule type="expression" priority="52" dxfId="0" stopIfTrue="1">
      <formula>WEEKDAY(G6)=1</formula>
    </cfRule>
    <cfRule type="expression" priority="51" dxfId="1" stopIfTrue="1">
      <formula>WEEKDAY(G6)=7</formula>
    </cfRule>
  </conditionalFormatting>
  <conditionalFormatting sqref="G15:AK16">
    <cfRule type="expression" priority="47" dxfId="1" stopIfTrue="1">
      <formula>WEEKDAY(G15)=7</formula>
    </cfRule>
    <cfRule type="expression" priority="48" dxfId="0" stopIfTrue="1">
      <formula>WEEKDAY(G15)=1</formula>
    </cfRule>
  </conditionalFormatting>
  <conditionalFormatting sqref="G24:AK25">
    <cfRule type="expression" priority="35" dxfId="1" stopIfTrue="1">
      <formula>WEEKDAY(G24)=7</formula>
    </cfRule>
    <cfRule type="expression" priority="36" dxfId="0" stopIfTrue="1">
      <formula>WEEKDAY(G24)=1</formula>
    </cfRule>
  </conditionalFormatting>
  <conditionalFormatting sqref="G33:AK34">
    <cfRule type="expression" priority="32" dxfId="0" stopIfTrue="1">
      <formula>WEEKDAY(G33)=1</formula>
    </cfRule>
    <cfRule type="expression" priority="31" dxfId="1" stopIfTrue="1">
      <formula>WEEKDAY(G33)=7</formula>
    </cfRule>
  </conditionalFormatting>
  <conditionalFormatting sqref="G42:AK43">
    <cfRule type="expression" priority="28" dxfId="0" stopIfTrue="1">
      <formula>WEEKDAY(G42)=1</formula>
    </cfRule>
    <cfRule type="expression" priority="27" dxfId="1" stopIfTrue="1">
      <formula>WEEKDAY(G42)=7</formula>
    </cfRule>
  </conditionalFormatting>
  <conditionalFormatting sqref="G51:AK52">
    <cfRule type="expression" priority="23" dxfId="1" stopIfTrue="1">
      <formula>WEEKDAY(G51)=7</formula>
    </cfRule>
    <cfRule type="expression" priority="24" dxfId="0" stopIfTrue="1">
      <formula>WEEKDAY(G51)=1</formula>
    </cfRule>
  </conditionalFormatting>
  <conditionalFormatting sqref="G60:AK61">
    <cfRule type="expression" priority="19" dxfId="1" stopIfTrue="1">
      <formula>WEEKDAY(G60)=7</formula>
    </cfRule>
    <cfRule type="expression" priority="20" dxfId="0" stopIfTrue="1">
      <formula>WEEKDAY(G60)=1</formula>
    </cfRule>
  </conditionalFormatting>
  <conditionalFormatting sqref="G69:AK70">
    <cfRule type="expression" priority="15" dxfId="1" stopIfTrue="1">
      <formula>WEEKDAY(G69)=7</formula>
    </cfRule>
    <cfRule type="expression" priority="16" dxfId="0" stopIfTrue="1">
      <formula>WEEKDAY(G69)=1</formula>
    </cfRule>
  </conditionalFormatting>
  <conditionalFormatting sqref="G78:AK79">
    <cfRule type="expression" priority="11" dxfId="1" stopIfTrue="1">
      <formula>WEEKDAY(G78)=7</formula>
    </cfRule>
    <cfRule type="expression" priority="12" dxfId="0" stopIfTrue="1">
      <formula>WEEKDAY(G78)=1</formula>
    </cfRule>
  </conditionalFormatting>
  <conditionalFormatting sqref="G87:AK88">
    <cfRule type="expression" priority="7" dxfId="1" stopIfTrue="1">
      <formula>WEEKDAY(G87)=7</formula>
    </cfRule>
    <cfRule type="expression" priority="8" dxfId="0" stopIfTrue="1">
      <formula>WEEKDAY(G87)=1</formula>
    </cfRule>
  </conditionalFormatting>
  <conditionalFormatting sqref="AL6">
    <cfRule type="expression" priority="49" dxfId="1" stopIfTrue="1">
      <formula>WEEKDAY(AL6)=7</formula>
    </cfRule>
    <cfRule type="expression" priority="50" dxfId="0" stopIfTrue="1">
      <formula>WEEKDAY(AL6)=1</formula>
    </cfRule>
  </conditionalFormatting>
  <conditionalFormatting sqref="AL15">
    <cfRule type="expression" priority="45" dxfId="1" stopIfTrue="1">
      <formula>WEEKDAY(AL15)=7</formula>
    </cfRule>
    <cfRule type="expression" priority="46" dxfId="0" stopIfTrue="1">
      <formula>WEEKDAY(AL15)=1</formula>
    </cfRule>
  </conditionalFormatting>
  <conditionalFormatting sqref="AL24">
    <cfRule type="expression" priority="34" dxfId="0" stopIfTrue="1">
      <formula>WEEKDAY(AL24)=1</formula>
    </cfRule>
    <cfRule type="expression" priority="33" dxfId="1" stopIfTrue="1">
      <formula>WEEKDAY(AL24)=7</formula>
    </cfRule>
  </conditionalFormatting>
  <conditionalFormatting sqref="AL33">
    <cfRule type="expression" priority="30" dxfId="0" stopIfTrue="1">
      <formula>WEEKDAY(AL33)=1</formula>
    </cfRule>
    <cfRule type="expression" priority="29" dxfId="1" stopIfTrue="1">
      <formula>WEEKDAY(AL33)=7</formula>
    </cfRule>
  </conditionalFormatting>
  <conditionalFormatting sqref="AL42">
    <cfRule type="expression" priority="25" dxfId="1" stopIfTrue="1">
      <formula>WEEKDAY(AL42)=7</formula>
    </cfRule>
    <cfRule type="expression" priority="26" dxfId="0" stopIfTrue="1">
      <formula>WEEKDAY(AL42)=1</formula>
    </cfRule>
  </conditionalFormatting>
  <conditionalFormatting sqref="AL51">
    <cfRule type="expression" priority="22" dxfId="0" stopIfTrue="1">
      <formula>WEEKDAY(AL51)=1</formula>
    </cfRule>
    <cfRule type="expression" priority="21" dxfId="1" stopIfTrue="1">
      <formula>WEEKDAY(AL51)=7</formula>
    </cfRule>
  </conditionalFormatting>
  <conditionalFormatting sqref="AL60">
    <cfRule type="expression" priority="18" dxfId="0" stopIfTrue="1">
      <formula>WEEKDAY(AL60)=1</formula>
    </cfRule>
    <cfRule type="expression" priority="17" dxfId="1" stopIfTrue="1">
      <formula>WEEKDAY(AL60)=7</formula>
    </cfRule>
  </conditionalFormatting>
  <conditionalFormatting sqref="AL69">
    <cfRule type="expression" priority="14" dxfId="0" stopIfTrue="1">
      <formula>WEEKDAY(AL69)=1</formula>
    </cfRule>
    <cfRule type="expression" priority="13" dxfId="1" stopIfTrue="1">
      <formula>WEEKDAY(AL69)=7</formula>
    </cfRule>
  </conditionalFormatting>
  <conditionalFormatting sqref="AL78">
    <cfRule type="expression" priority="10" dxfId="0" stopIfTrue="1">
      <formula>WEEKDAY(AL78)=1</formula>
    </cfRule>
    <cfRule type="expression" priority="9" dxfId="1" stopIfTrue="1">
      <formula>WEEKDAY(AL78)=7</formula>
    </cfRule>
  </conditionalFormatting>
  <conditionalFormatting sqref="AL87">
    <cfRule type="expression" priority="6" dxfId="0" stopIfTrue="1">
      <formula>WEEKDAY(AL87)=1</formula>
    </cfRule>
    <cfRule type="expression" priority="5" dxfId="1" stopIfTrue="1">
      <formula>WEEKDAY(AL87)=7</formula>
    </cfRule>
  </conditionalFormatting>
  <printOptions horizontalCentered="1"/>
  <pageMargins left="0.17" right="0.17" top="0.17" bottom="0.17" header="0.17" footer="0.17"/>
  <pageSetup orientation="landscape" paperSize="9" scale="1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O39"/>
  <sheetViews>
    <sheetView showGridLines="0" view="pageBreakPreview" zoomScale="60" zoomScaleNormal="100" workbookViewId="0">
      <pane xSplit="6" ySplit="3" topLeftCell="G19" activePane="bottomRight" state="frozen"/>
      <selection pane="topRight" activeCell="G1" sqref="G1"/>
      <selection pane="bottomLeft" activeCell="A4" sqref="A4"/>
      <selection pane="bottomRight" activeCell="M19" sqref="M19"/>
    </sheetView>
  </sheetViews>
  <sheetFormatPr baseColWidth="8" defaultColWidth="9" defaultRowHeight="21"/>
  <cols>
    <col width="15.42578125" customWidth="1" style="1" min="1" max="1"/>
    <col width="3.7109375" customWidth="1" style="1" min="2" max="2"/>
    <col width="7.5703125" customWidth="1" style="1" min="3" max="3"/>
    <col width="2.5703125" customWidth="1" style="1" min="4" max="4"/>
    <col width="9" customWidth="1" style="1" min="5" max="5"/>
    <col width="21.28515625" customWidth="1" style="1" min="6" max="6"/>
    <col width="10" customWidth="1" style="1" min="7" max="37"/>
    <col width="16" bestFit="1" customWidth="1" style="1" min="38" max="38"/>
    <col width="6" customWidth="1" style="1" min="39" max="39"/>
    <col width="25.140625" customWidth="1" style="2" min="40" max="40"/>
    <col width="16.85546875" customWidth="1" style="20" min="41" max="41"/>
    <col width="3.7109375" customWidth="1" style="127" min="255" max="257"/>
    <col width="2.5703125" customWidth="1" style="127" min="258" max="261"/>
    <col width="3.7109375" customWidth="1" style="127" min="262" max="264"/>
    <col width="4.42578125" customWidth="1" style="127" min="265" max="295"/>
    <col width="9" customWidth="1" style="127" min="296" max="296"/>
    <col width="3.7109375" customWidth="1" style="127" min="511" max="513"/>
    <col width="2.5703125" customWidth="1" style="127" min="514" max="517"/>
    <col width="3.7109375" customWidth="1" style="127" min="518" max="520"/>
    <col width="4.42578125" customWidth="1" style="127" min="521" max="551"/>
    <col width="9" customWidth="1" style="127" min="552" max="552"/>
    <col width="3.7109375" customWidth="1" style="127" min="767" max="769"/>
    <col width="2.5703125" customWidth="1" style="127" min="770" max="773"/>
    <col width="3.7109375" customWidth="1" style="127" min="774" max="776"/>
    <col width="4.42578125" customWidth="1" style="127" min="777" max="807"/>
    <col width="9" customWidth="1" style="127" min="808" max="808"/>
    <col width="3.7109375" customWidth="1" style="127" min="1023" max="1025"/>
    <col width="2.5703125" customWidth="1" style="127" min="1026" max="1029"/>
    <col width="3.7109375" customWidth="1" style="127" min="1030" max="1032"/>
    <col width="4.42578125" customWidth="1" style="127" min="1033" max="1063"/>
    <col width="9" customWidth="1" style="127" min="1064" max="1064"/>
    <col width="3.7109375" customWidth="1" style="127" min="1279" max="1281"/>
    <col width="2.5703125" customWidth="1" style="127" min="1282" max="1285"/>
    <col width="3.7109375" customWidth="1" style="127" min="1286" max="1288"/>
    <col width="4.42578125" customWidth="1" style="127" min="1289" max="1319"/>
    <col width="9" customWidth="1" style="127" min="1320" max="1320"/>
    <col width="3.7109375" customWidth="1" style="127" min="1535" max="1537"/>
    <col width="2.5703125" customWidth="1" style="127" min="1538" max="1541"/>
    <col width="3.7109375" customWidth="1" style="127" min="1542" max="1544"/>
    <col width="4.42578125" customWidth="1" style="127" min="1545" max="1575"/>
    <col width="9" customWidth="1" style="127" min="1576" max="1576"/>
    <col width="3.7109375" customWidth="1" style="127" min="1791" max="1793"/>
    <col width="2.5703125" customWidth="1" style="127" min="1794" max="1797"/>
    <col width="3.7109375" customWidth="1" style="127" min="1798" max="1800"/>
    <col width="4.42578125" customWidth="1" style="127" min="1801" max="1831"/>
    <col width="9" customWidth="1" style="127" min="1832" max="1832"/>
    <col width="3.7109375" customWidth="1" style="127" min="2047" max="2049"/>
    <col width="2.5703125" customWidth="1" style="127" min="2050" max="2053"/>
    <col width="3.7109375" customWidth="1" style="127" min="2054" max="2056"/>
    <col width="4.42578125" customWidth="1" style="127" min="2057" max="2087"/>
    <col width="9" customWidth="1" style="127" min="2088" max="2088"/>
    <col width="3.7109375" customWidth="1" style="127" min="2303" max="2305"/>
    <col width="2.5703125" customWidth="1" style="127" min="2306" max="2309"/>
    <col width="3.7109375" customWidth="1" style="127" min="2310" max="2312"/>
    <col width="4.42578125" customWidth="1" style="127" min="2313" max="2343"/>
    <col width="9" customWidth="1" style="127" min="2344" max="2344"/>
    <col width="3.7109375" customWidth="1" style="127" min="2559" max="2561"/>
    <col width="2.5703125" customWidth="1" style="127" min="2562" max="2565"/>
    <col width="3.7109375" customWidth="1" style="127" min="2566" max="2568"/>
    <col width="4.42578125" customWidth="1" style="127" min="2569" max="2599"/>
    <col width="9" customWidth="1" style="127" min="2600" max="2600"/>
    <col width="3.7109375" customWidth="1" style="127" min="2815" max="2817"/>
    <col width="2.5703125" customWidth="1" style="127" min="2818" max="2821"/>
    <col width="3.7109375" customWidth="1" style="127" min="2822" max="2824"/>
    <col width="4.42578125" customWidth="1" style="127" min="2825" max="2855"/>
    <col width="9" customWidth="1" style="127" min="2856" max="2856"/>
    <col width="3.7109375" customWidth="1" style="127" min="3071" max="3073"/>
    <col width="2.5703125" customWidth="1" style="127" min="3074" max="3077"/>
    <col width="3.7109375" customWidth="1" style="127" min="3078" max="3080"/>
    <col width="4.42578125" customWidth="1" style="127" min="3081" max="3111"/>
    <col width="9" customWidth="1" style="127" min="3112" max="3112"/>
    <col width="3.7109375" customWidth="1" style="127" min="3327" max="3329"/>
    <col width="2.5703125" customWidth="1" style="127" min="3330" max="3333"/>
    <col width="3.7109375" customWidth="1" style="127" min="3334" max="3336"/>
    <col width="4.42578125" customWidth="1" style="127" min="3337" max="3367"/>
    <col width="9" customWidth="1" style="127" min="3368" max="3368"/>
    <col width="3.7109375" customWidth="1" style="127" min="3583" max="3585"/>
    <col width="2.5703125" customWidth="1" style="127" min="3586" max="3589"/>
    <col width="3.7109375" customWidth="1" style="127" min="3590" max="3592"/>
    <col width="4.42578125" customWidth="1" style="127" min="3593" max="3623"/>
    <col width="9" customWidth="1" style="127" min="3624" max="3624"/>
    <col width="3.7109375" customWidth="1" style="127" min="3839" max="3841"/>
    <col width="2.5703125" customWidth="1" style="127" min="3842" max="3845"/>
    <col width="3.7109375" customWidth="1" style="127" min="3846" max="3848"/>
    <col width="4.42578125" customWidth="1" style="127" min="3849" max="3879"/>
    <col width="9" customWidth="1" style="127" min="3880" max="3880"/>
    <col width="3.7109375" customWidth="1" style="127" min="4095" max="4097"/>
    <col width="2.5703125" customWidth="1" style="127" min="4098" max="4101"/>
    <col width="3.7109375" customWidth="1" style="127" min="4102" max="4104"/>
    <col width="4.42578125" customWidth="1" style="127" min="4105" max="4135"/>
    <col width="9" customWidth="1" style="127" min="4136" max="4136"/>
    <col width="3.7109375" customWidth="1" style="127" min="4351" max="4353"/>
    <col width="2.5703125" customWidth="1" style="127" min="4354" max="4357"/>
    <col width="3.7109375" customWidth="1" style="127" min="4358" max="4360"/>
    <col width="4.42578125" customWidth="1" style="127" min="4361" max="4391"/>
    <col width="9" customWidth="1" style="127" min="4392" max="4392"/>
    <col width="3.7109375" customWidth="1" style="127" min="4607" max="4609"/>
    <col width="2.5703125" customWidth="1" style="127" min="4610" max="4613"/>
    <col width="3.7109375" customWidth="1" style="127" min="4614" max="4616"/>
    <col width="4.42578125" customWidth="1" style="127" min="4617" max="4647"/>
    <col width="9" customWidth="1" style="127" min="4648" max="4648"/>
    <col width="3.7109375" customWidth="1" style="127" min="4863" max="4865"/>
    <col width="2.5703125" customWidth="1" style="127" min="4866" max="4869"/>
    <col width="3.7109375" customWidth="1" style="127" min="4870" max="4872"/>
    <col width="4.42578125" customWidth="1" style="127" min="4873" max="4903"/>
    <col width="9" customWidth="1" style="127" min="4904" max="4904"/>
    <col width="3.7109375" customWidth="1" style="127" min="5119" max="5121"/>
    <col width="2.5703125" customWidth="1" style="127" min="5122" max="5125"/>
    <col width="3.7109375" customWidth="1" style="127" min="5126" max="5128"/>
    <col width="4.42578125" customWidth="1" style="127" min="5129" max="5159"/>
    <col width="9" customWidth="1" style="127" min="5160" max="5160"/>
    <col width="3.7109375" customWidth="1" style="127" min="5375" max="5377"/>
    <col width="2.5703125" customWidth="1" style="127" min="5378" max="5381"/>
    <col width="3.7109375" customWidth="1" style="127" min="5382" max="5384"/>
    <col width="4.42578125" customWidth="1" style="127" min="5385" max="5415"/>
    <col width="9" customWidth="1" style="127" min="5416" max="5416"/>
    <col width="3.7109375" customWidth="1" style="127" min="5631" max="5633"/>
    <col width="2.5703125" customWidth="1" style="127" min="5634" max="5637"/>
    <col width="3.7109375" customWidth="1" style="127" min="5638" max="5640"/>
    <col width="4.42578125" customWidth="1" style="127" min="5641" max="5671"/>
    <col width="9" customWidth="1" style="127" min="5672" max="5672"/>
    <col width="3.7109375" customWidth="1" style="127" min="5887" max="5889"/>
    <col width="2.5703125" customWidth="1" style="127" min="5890" max="5893"/>
    <col width="3.7109375" customWidth="1" style="127" min="5894" max="5896"/>
    <col width="4.42578125" customWidth="1" style="127" min="5897" max="5927"/>
    <col width="9" customWidth="1" style="127" min="5928" max="5928"/>
    <col width="3.7109375" customWidth="1" style="127" min="6143" max="6145"/>
    <col width="2.5703125" customWidth="1" style="127" min="6146" max="6149"/>
    <col width="3.7109375" customWidth="1" style="127" min="6150" max="6152"/>
    <col width="4.42578125" customWidth="1" style="127" min="6153" max="6183"/>
    <col width="9" customWidth="1" style="127" min="6184" max="6184"/>
    <col width="3.7109375" customWidth="1" style="127" min="6399" max="6401"/>
    <col width="2.5703125" customWidth="1" style="127" min="6402" max="6405"/>
    <col width="3.7109375" customWidth="1" style="127" min="6406" max="6408"/>
    <col width="4.42578125" customWidth="1" style="127" min="6409" max="6439"/>
    <col width="9" customWidth="1" style="127" min="6440" max="6440"/>
    <col width="3.7109375" customWidth="1" style="127" min="6655" max="6657"/>
    <col width="2.5703125" customWidth="1" style="127" min="6658" max="6661"/>
    <col width="3.7109375" customWidth="1" style="127" min="6662" max="6664"/>
    <col width="4.42578125" customWidth="1" style="127" min="6665" max="6695"/>
    <col width="9" customWidth="1" style="127" min="6696" max="6696"/>
    <col width="3.7109375" customWidth="1" style="127" min="6911" max="6913"/>
    <col width="2.5703125" customWidth="1" style="127" min="6914" max="6917"/>
    <col width="3.7109375" customWidth="1" style="127" min="6918" max="6920"/>
    <col width="4.42578125" customWidth="1" style="127" min="6921" max="6951"/>
    <col width="9" customWidth="1" style="127" min="6952" max="6952"/>
    <col width="3.7109375" customWidth="1" style="127" min="7167" max="7169"/>
    <col width="2.5703125" customWidth="1" style="127" min="7170" max="7173"/>
    <col width="3.7109375" customWidth="1" style="127" min="7174" max="7176"/>
    <col width="4.42578125" customWidth="1" style="127" min="7177" max="7207"/>
    <col width="9" customWidth="1" style="127" min="7208" max="7208"/>
    <col width="3.7109375" customWidth="1" style="127" min="7423" max="7425"/>
    <col width="2.5703125" customWidth="1" style="127" min="7426" max="7429"/>
    <col width="3.7109375" customWidth="1" style="127" min="7430" max="7432"/>
    <col width="4.42578125" customWidth="1" style="127" min="7433" max="7463"/>
    <col width="9" customWidth="1" style="127" min="7464" max="7464"/>
    <col width="3.7109375" customWidth="1" style="127" min="7679" max="7681"/>
    <col width="2.5703125" customWidth="1" style="127" min="7682" max="7685"/>
    <col width="3.7109375" customWidth="1" style="127" min="7686" max="7688"/>
    <col width="4.42578125" customWidth="1" style="127" min="7689" max="7719"/>
    <col width="9" customWidth="1" style="127" min="7720" max="7720"/>
    <col width="3.7109375" customWidth="1" style="127" min="7935" max="7937"/>
    <col width="2.5703125" customWidth="1" style="127" min="7938" max="7941"/>
    <col width="3.7109375" customWidth="1" style="127" min="7942" max="7944"/>
    <col width="4.42578125" customWidth="1" style="127" min="7945" max="7975"/>
    <col width="9" customWidth="1" style="127" min="7976" max="7976"/>
    <col width="3.7109375" customWidth="1" style="127" min="8191" max="8193"/>
    <col width="2.5703125" customWidth="1" style="127" min="8194" max="8197"/>
    <col width="3.7109375" customWidth="1" style="127" min="8198" max="8200"/>
    <col width="4.42578125" customWidth="1" style="127" min="8201" max="8231"/>
    <col width="9" customWidth="1" style="127" min="8232" max="8232"/>
    <col width="3.7109375" customWidth="1" style="127" min="8447" max="8449"/>
    <col width="2.5703125" customWidth="1" style="127" min="8450" max="8453"/>
    <col width="3.7109375" customWidth="1" style="127" min="8454" max="8456"/>
    <col width="4.42578125" customWidth="1" style="127" min="8457" max="8487"/>
    <col width="9" customWidth="1" style="127" min="8488" max="8488"/>
    <col width="3.7109375" customWidth="1" style="127" min="8703" max="8705"/>
    <col width="2.5703125" customWidth="1" style="127" min="8706" max="8709"/>
    <col width="3.7109375" customWidth="1" style="127" min="8710" max="8712"/>
    <col width="4.42578125" customWidth="1" style="127" min="8713" max="8743"/>
    <col width="9" customWidth="1" style="127" min="8744" max="8744"/>
    <col width="3.7109375" customWidth="1" style="127" min="8959" max="8961"/>
    <col width="2.5703125" customWidth="1" style="127" min="8962" max="8965"/>
    <col width="3.7109375" customWidth="1" style="127" min="8966" max="8968"/>
    <col width="4.42578125" customWidth="1" style="127" min="8969" max="8999"/>
    <col width="9" customWidth="1" style="127" min="9000" max="9000"/>
    <col width="3.7109375" customWidth="1" style="127" min="9215" max="9217"/>
    <col width="2.5703125" customWidth="1" style="127" min="9218" max="9221"/>
    <col width="3.7109375" customWidth="1" style="127" min="9222" max="9224"/>
    <col width="4.42578125" customWidth="1" style="127" min="9225" max="9255"/>
    <col width="9" customWidth="1" style="127" min="9256" max="9256"/>
    <col width="3.7109375" customWidth="1" style="127" min="9471" max="9473"/>
    <col width="2.5703125" customWidth="1" style="127" min="9474" max="9477"/>
    <col width="3.7109375" customWidth="1" style="127" min="9478" max="9480"/>
    <col width="4.42578125" customWidth="1" style="127" min="9481" max="9511"/>
    <col width="9" customWidth="1" style="127" min="9512" max="9512"/>
    <col width="3.7109375" customWidth="1" style="127" min="9727" max="9729"/>
    <col width="2.5703125" customWidth="1" style="127" min="9730" max="9733"/>
    <col width="3.7109375" customWidth="1" style="127" min="9734" max="9736"/>
    <col width="4.42578125" customWidth="1" style="127" min="9737" max="9767"/>
    <col width="9" customWidth="1" style="127" min="9768" max="9768"/>
    <col width="3.7109375" customWidth="1" style="127" min="9983" max="9985"/>
    <col width="2.5703125" customWidth="1" style="127" min="9986" max="9989"/>
    <col width="3.7109375" customWidth="1" style="127" min="9990" max="9992"/>
    <col width="4.42578125" customWidth="1" style="127" min="9993" max="10023"/>
    <col width="9" customWidth="1" style="127" min="10024" max="10024"/>
    <col width="3.7109375" customWidth="1" style="127" min="10239" max="10241"/>
    <col width="2.5703125" customWidth="1" style="127" min="10242" max="10245"/>
    <col width="3.7109375" customWidth="1" style="127" min="10246" max="10248"/>
    <col width="4.42578125" customWidth="1" style="127" min="10249" max="10279"/>
    <col width="9" customWidth="1" style="127" min="10280" max="10280"/>
    <col width="3.7109375" customWidth="1" style="127" min="10495" max="10497"/>
    <col width="2.5703125" customWidth="1" style="127" min="10498" max="10501"/>
    <col width="3.7109375" customWidth="1" style="127" min="10502" max="10504"/>
    <col width="4.42578125" customWidth="1" style="127" min="10505" max="10535"/>
    <col width="9" customWidth="1" style="127" min="10536" max="10536"/>
    <col width="3.7109375" customWidth="1" style="127" min="10751" max="10753"/>
    <col width="2.5703125" customWidth="1" style="127" min="10754" max="10757"/>
    <col width="3.7109375" customWidth="1" style="127" min="10758" max="10760"/>
    <col width="4.42578125" customWidth="1" style="127" min="10761" max="10791"/>
    <col width="9" customWidth="1" style="127" min="10792" max="10792"/>
    <col width="3.7109375" customWidth="1" style="127" min="11007" max="11009"/>
    <col width="2.5703125" customWidth="1" style="127" min="11010" max="11013"/>
    <col width="3.7109375" customWidth="1" style="127" min="11014" max="11016"/>
    <col width="4.42578125" customWidth="1" style="127" min="11017" max="11047"/>
    <col width="9" customWidth="1" style="127" min="11048" max="11048"/>
    <col width="3.7109375" customWidth="1" style="127" min="11263" max="11265"/>
    <col width="2.5703125" customWidth="1" style="127" min="11266" max="11269"/>
    <col width="3.7109375" customWidth="1" style="127" min="11270" max="11272"/>
    <col width="4.42578125" customWidth="1" style="127" min="11273" max="11303"/>
    <col width="9" customWidth="1" style="127" min="11304" max="11304"/>
    <col width="3.7109375" customWidth="1" style="127" min="11519" max="11521"/>
    <col width="2.5703125" customWidth="1" style="127" min="11522" max="11525"/>
    <col width="3.7109375" customWidth="1" style="127" min="11526" max="11528"/>
    <col width="4.42578125" customWidth="1" style="127" min="11529" max="11559"/>
    <col width="9" customWidth="1" style="127" min="11560" max="11560"/>
    <col width="3.7109375" customWidth="1" style="127" min="11775" max="11777"/>
    <col width="2.5703125" customWidth="1" style="127" min="11778" max="11781"/>
    <col width="3.7109375" customWidth="1" style="127" min="11782" max="11784"/>
    <col width="4.42578125" customWidth="1" style="127" min="11785" max="11815"/>
    <col width="9" customWidth="1" style="127" min="11816" max="11816"/>
    <col width="3.7109375" customWidth="1" style="127" min="12031" max="12033"/>
    <col width="2.5703125" customWidth="1" style="127" min="12034" max="12037"/>
    <col width="3.7109375" customWidth="1" style="127" min="12038" max="12040"/>
    <col width="4.42578125" customWidth="1" style="127" min="12041" max="12071"/>
    <col width="9" customWidth="1" style="127" min="12072" max="12072"/>
    <col width="3.7109375" customWidth="1" style="127" min="12287" max="12289"/>
    <col width="2.5703125" customWidth="1" style="127" min="12290" max="12293"/>
    <col width="3.7109375" customWidth="1" style="127" min="12294" max="12296"/>
    <col width="4.42578125" customWidth="1" style="127" min="12297" max="12327"/>
    <col width="9" customWidth="1" style="127" min="12328" max="12328"/>
    <col width="3.7109375" customWidth="1" style="127" min="12543" max="12545"/>
    <col width="2.5703125" customWidth="1" style="127" min="12546" max="12549"/>
    <col width="3.7109375" customWidth="1" style="127" min="12550" max="12552"/>
    <col width="4.42578125" customWidth="1" style="127" min="12553" max="12583"/>
    <col width="9" customWidth="1" style="127" min="12584" max="12584"/>
    <col width="3.7109375" customWidth="1" style="127" min="12799" max="12801"/>
    <col width="2.5703125" customWidth="1" style="127" min="12802" max="12805"/>
    <col width="3.7109375" customWidth="1" style="127" min="12806" max="12808"/>
    <col width="4.42578125" customWidth="1" style="127" min="12809" max="12839"/>
    <col width="9" customWidth="1" style="127" min="12840" max="12840"/>
    <col width="3.7109375" customWidth="1" style="127" min="13055" max="13057"/>
    <col width="2.5703125" customWidth="1" style="127" min="13058" max="13061"/>
    <col width="3.7109375" customWidth="1" style="127" min="13062" max="13064"/>
    <col width="4.42578125" customWidth="1" style="127" min="13065" max="13095"/>
    <col width="9" customWidth="1" style="127" min="13096" max="13096"/>
    <col width="3.7109375" customWidth="1" style="127" min="13311" max="13313"/>
    <col width="2.5703125" customWidth="1" style="127" min="13314" max="13317"/>
    <col width="3.7109375" customWidth="1" style="127" min="13318" max="13320"/>
    <col width="4.42578125" customWidth="1" style="127" min="13321" max="13351"/>
    <col width="9" customWidth="1" style="127" min="13352" max="13352"/>
    <col width="3.7109375" customWidth="1" style="127" min="13567" max="13569"/>
    <col width="2.5703125" customWidth="1" style="127" min="13570" max="13573"/>
    <col width="3.7109375" customWidth="1" style="127" min="13574" max="13576"/>
    <col width="4.42578125" customWidth="1" style="127" min="13577" max="13607"/>
    <col width="9" customWidth="1" style="127" min="13608" max="13608"/>
    <col width="3.7109375" customWidth="1" style="127" min="13823" max="13825"/>
    <col width="2.5703125" customWidth="1" style="127" min="13826" max="13829"/>
    <col width="3.7109375" customWidth="1" style="127" min="13830" max="13832"/>
    <col width="4.42578125" customWidth="1" style="127" min="13833" max="13863"/>
    <col width="9" customWidth="1" style="127" min="13864" max="13864"/>
    <col width="3.7109375" customWidth="1" style="127" min="14079" max="14081"/>
    <col width="2.5703125" customWidth="1" style="127" min="14082" max="14085"/>
    <col width="3.7109375" customWidth="1" style="127" min="14086" max="14088"/>
    <col width="4.42578125" customWidth="1" style="127" min="14089" max="14119"/>
    <col width="9" customWidth="1" style="127" min="14120" max="14120"/>
    <col width="3.7109375" customWidth="1" style="127" min="14335" max="14337"/>
    <col width="2.5703125" customWidth="1" style="127" min="14338" max="14341"/>
    <col width="3.7109375" customWidth="1" style="127" min="14342" max="14344"/>
    <col width="4.42578125" customWidth="1" style="127" min="14345" max="14375"/>
    <col width="9" customWidth="1" style="127" min="14376" max="14376"/>
    <col width="3.7109375" customWidth="1" style="127" min="14591" max="14593"/>
    <col width="2.5703125" customWidth="1" style="127" min="14594" max="14597"/>
    <col width="3.7109375" customWidth="1" style="127" min="14598" max="14600"/>
    <col width="4.42578125" customWidth="1" style="127" min="14601" max="14631"/>
    <col width="9" customWidth="1" style="127" min="14632" max="14632"/>
    <col width="3.7109375" customWidth="1" style="127" min="14847" max="14849"/>
    <col width="2.5703125" customWidth="1" style="127" min="14850" max="14853"/>
    <col width="3.7109375" customWidth="1" style="127" min="14854" max="14856"/>
    <col width="4.42578125" customWidth="1" style="127" min="14857" max="14887"/>
    <col width="9" customWidth="1" style="127" min="14888" max="14888"/>
    <col width="3.7109375" customWidth="1" style="127" min="15103" max="15105"/>
    <col width="2.5703125" customWidth="1" style="127" min="15106" max="15109"/>
    <col width="3.7109375" customWidth="1" style="127" min="15110" max="15112"/>
    <col width="4.42578125" customWidth="1" style="127" min="15113" max="15143"/>
    <col width="9" customWidth="1" style="127" min="15144" max="15144"/>
    <col width="3.7109375" customWidth="1" style="127" min="15359" max="15361"/>
    <col width="2.5703125" customWidth="1" style="127" min="15362" max="15365"/>
    <col width="3.7109375" customWidth="1" style="127" min="15366" max="15368"/>
    <col width="4.42578125" customWidth="1" style="127" min="15369" max="15399"/>
    <col width="9" customWidth="1" style="127" min="15400" max="15400"/>
    <col width="3.7109375" customWidth="1" style="127" min="15615" max="15617"/>
    <col width="2.5703125" customWidth="1" style="127" min="15618" max="15621"/>
    <col width="3.7109375" customWidth="1" style="127" min="15622" max="15624"/>
    <col width="4.42578125" customWidth="1" style="127" min="15625" max="15655"/>
    <col width="9" customWidth="1" style="127" min="15656" max="15656"/>
    <col width="3.7109375" customWidth="1" style="127" min="15871" max="15873"/>
    <col width="2.5703125" customWidth="1" style="127" min="15874" max="15877"/>
    <col width="3.7109375" customWidth="1" style="127" min="15878" max="15880"/>
    <col width="4.42578125" customWidth="1" style="127" min="15881" max="15911"/>
    <col width="9" customWidth="1" style="127" min="15912" max="15912"/>
    <col width="3.7109375" customWidth="1" style="127" min="16127" max="16129"/>
    <col width="2.5703125" customWidth="1" style="127" min="16130" max="16133"/>
    <col width="3.7109375" customWidth="1" style="127" min="16134" max="16136"/>
    <col width="4.42578125" customWidth="1" style="127" min="16137" max="16167"/>
    <col width="9" customWidth="1" style="127" min="16168" max="16168"/>
  </cols>
  <sheetData>
    <row r="1" ht="30.75" customHeight="1" s="127">
      <c r="A1" s="10" t="n"/>
      <c r="B1" s="100" t="inlineStr">
        <is>
          <t>LỊCH GIAO HÀNG DO SUNG
DO SUNG会社の納品スケジュール</t>
        </is>
      </c>
    </row>
    <row r="2" ht="55.5" customHeight="1" s="127">
      <c r="A2" s="10" t="n"/>
    </row>
    <row r="3" ht="30.75" customHeight="1" s="127">
      <c r="A3" s="7" t="n"/>
    </row>
    <row r="4" ht="30.75" customHeight="1" s="127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101" t="n"/>
      <c r="AL4" s="7" t="n"/>
      <c r="AM4" s="7" t="n"/>
    </row>
    <row r="5" ht="21" customHeight="1" s="127" thickBot="1">
      <c r="B5" s="85" t="n">
        <v>2026</v>
      </c>
      <c r="D5" s="85" t="inlineStr">
        <is>
          <t>年</t>
        </is>
      </c>
      <c r="E5" s="85" t="n">
        <v>1</v>
      </c>
      <c r="F5" s="29" t="inlineStr">
        <is>
          <t>月</t>
        </is>
      </c>
      <c r="G5" s="8" t="n"/>
      <c r="H5" s="3" t="n"/>
      <c r="I5" s="3" t="n"/>
      <c r="J5" s="5" t="n"/>
      <c r="K5" s="5" t="n"/>
      <c r="L5" s="5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7" t="n"/>
    </row>
    <row r="6" ht="20.25" customFormat="1" customHeight="1" s="11">
      <c r="A6" s="173" t="inlineStr">
        <is>
          <t>mda0017 DLW231002-001</t>
        </is>
      </c>
      <c r="B6" s="106" t="inlineStr">
        <is>
          <t>輸送</t>
        </is>
      </c>
      <c r="C6" s="129" t="n"/>
      <c r="D6" s="107" t="inlineStr">
        <is>
          <t>日</t>
        </is>
      </c>
      <c r="E6" s="130" t="n"/>
      <c r="F6" s="131" t="n"/>
      <c r="G6" s="132">
        <f>DATE(B5,E5,1)</f>
        <v/>
      </c>
      <c r="H6" s="132">
        <f>IF(G6="","",IF(DAY(G6+1)=1,"",G6+1))</f>
        <v/>
      </c>
      <c r="I6" s="132">
        <f>IF(H6="","",IF(DAY(H6+1)=1,"",H6+1))</f>
        <v/>
      </c>
      <c r="J6" s="132">
        <f>IF(I6="","",IF(DAY(I6+1)=1,"",I6+1))</f>
        <v/>
      </c>
      <c r="K6" s="132">
        <f>IF(J6="","",IF(DAY(J6+1)=1,"",J6+1))</f>
        <v/>
      </c>
      <c r="L6" s="132">
        <f>IF(K6="","",IF(DAY(K6+1)=1,"",K6+1))</f>
        <v/>
      </c>
      <c r="M6" s="132">
        <f>IF(L6="","",IF(DAY(L6+1)=1,"",L6+1))</f>
        <v/>
      </c>
      <c r="N6" s="132">
        <f>IF(M6="","",IF(DAY(M6+1)=1,"",M6+1))</f>
        <v/>
      </c>
      <c r="O6" s="132">
        <f>IF(N6="","",IF(DAY(N6+1)=1,"",N6+1))</f>
        <v/>
      </c>
      <c r="P6" s="132">
        <f>IF(O6="","",IF(DAY(O6+1)=1,"",O6+1))</f>
        <v/>
      </c>
      <c r="Q6" s="132">
        <f>IF(P6="","",IF(DAY(P6+1)=1,"",P6+1))</f>
        <v/>
      </c>
      <c r="R6" s="132">
        <f>IF(Q6="","",IF(DAY(Q6+1)=1,"",Q6+1))</f>
        <v/>
      </c>
      <c r="S6" s="132">
        <f>IF(R6="","",IF(DAY(R6+1)=1,"",R6+1))</f>
        <v/>
      </c>
      <c r="T6" s="132">
        <f>IF(S6="","",IF(DAY(S6+1)=1,"",S6+1))</f>
        <v/>
      </c>
      <c r="U6" s="132">
        <f>IF(T6="","",IF(DAY(T6+1)=1,"",T6+1))</f>
        <v/>
      </c>
      <c r="V6" s="132">
        <f>IF(U6="","",IF(DAY(U6+1)=1,"",U6+1))</f>
        <v/>
      </c>
      <c r="W6" s="132">
        <f>IF(V6="","",IF(DAY(V6+1)=1,"",V6+1))</f>
        <v/>
      </c>
      <c r="X6" s="132">
        <f>IF(W6="","",IF(DAY(W6+1)=1,"",W6+1))</f>
        <v/>
      </c>
      <c r="Y6" s="132">
        <f>IF(X6="","",IF(DAY(X6+1)=1,"",X6+1))</f>
        <v/>
      </c>
      <c r="Z6" s="132">
        <f>IF(Y6="","",IF(DAY(Y6+1)=1,"",Y6+1))</f>
        <v/>
      </c>
      <c r="AA6" s="132">
        <f>IF(Z6="","",IF(DAY(Z6+1)=1,"",Z6+1))</f>
        <v/>
      </c>
      <c r="AB6" s="132">
        <f>IF(AA6="","",IF(DAY(AA6+1)=1,"",AA6+1))</f>
        <v/>
      </c>
      <c r="AC6" s="132">
        <f>IF(AB6="","",IF(DAY(AB6+1)=1,"",AB6+1))</f>
        <v/>
      </c>
      <c r="AD6" s="132">
        <f>IF(AC6="","",IF(DAY(AC6+1)=1,"",AC6+1))</f>
        <v/>
      </c>
      <c r="AE6" s="132">
        <f>IF(AD6="","",IF(DAY(AD6+1)=1,"",AD6+1))</f>
        <v/>
      </c>
      <c r="AF6" s="132">
        <f>IF(AE6="","",IF(DAY(AE6+1)=1,"",AE6+1))</f>
        <v/>
      </c>
      <c r="AG6" s="132">
        <f>IF(AF6="","",IF(DAY(AF6+1)=1,"",AF6+1))</f>
        <v/>
      </c>
      <c r="AH6" s="132">
        <f>IF(AG6="","",IF(DAY(AG6+1)=1,"",AG6+1))</f>
        <v/>
      </c>
      <c r="AI6" s="132">
        <f>IF(AH6="","",IF(DAY(AH6+1)=1,"",AH6+1))</f>
        <v/>
      </c>
      <c r="AJ6" s="132">
        <f>IF(AI6="","",IF(DAY(AI6+1)=1,"",AI6+1))</f>
        <v/>
      </c>
      <c r="AK6" s="132">
        <f>IF(AJ6="","",IF(DAY(AJ6+1)=1,"",AJ6+1))</f>
        <v/>
      </c>
      <c r="AL6" s="133" t="inlineStr">
        <is>
          <t>Total</t>
        </is>
      </c>
      <c r="AM6" s="7" t="n"/>
      <c r="AN6" s="21" t="n"/>
      <c r="AO6" s="20" t="n"/>
    </row>
    <row r="7" ht="20.25" customFormat="1" customHeight="1" s="11">
      <c r="A7" s="134" t="n"/>
      <c r="B7" s="135" t="n"/>
      <c r="C7" s="136" t="n"/>
      <c r="D7" s="102" t="inlineStr">
        <is>
          <t>時間</t>
        </is>
      </c>
      <c r="E7" s="137" t="n"/>
      <c r="F7" s="138" t="n"/>
      <c r="G7" s="139">
        <f>+G6</f>
        <v/>
      </c>
      <c r="H7" s="139">
        <f>+H6</f>
        <v/>
      </c>
      <c r="I7" s="139">
        <f>+I6</f>
        <v/>
      </c>
      <c r="J7" s="139">
        <f>+J6</f>
        <v/>
      </c>
      <c r="K7" s="139">
        <f>+K6</f>
        <v/>
      </c>
      <c r="L7" s="139">
        <f>+L6</f>
        <v/>
      </c>
      <c r="M7" s="139">
        <f>+M6</f>
        <v/>
      </c>
      <c r="N7" s="139">
        <f>+N6</f>
        <v/>
      </c>
      <c r="O7" s="139">
        <f>+O6</f>
        <v/>
      </c>
      <c r="P7" s="139">
        <f>+P6</f>
        <v/>
      </c>
      <c r="Q7" s="139">
        <f>+Q6</f>
        <v/>
      </c>
      <c r="R7" s="139">
        <f>+R6</f>
        <v/>
      </c>
      <c r="S7" s="139">
        <f>+S6</f>
        <v/>
      </c>
      <c r="T7" s="139">
        <f>+T6</f>
        <v/>
      </c>
      <c r="U7" s="139">
        <f>+U6</f>
        <v/>
      </c>
      <c r="V7" s="139">
        <f>+V6</f>
        <v/>
      </c>
      <c r="W7" s="139">
        <f>+W6</f>
        <v/>
      </c>
      <c r="X7" s="139">
        <f>+X6</f>
        <v/>
      </c>
      <c r="Y7" s="139">
        <f>+Y6</f>
        <v/>
      </c>
      <c r="Z7" s="139">
        <f>+Z6</f>
        <v/>
      </c>
      <c r="AA7" s="139">
        <f>+AA6</f>
        <v/>
      </c>
      <c r="AB7" s="139">
        <f>+AB6</f>
        <v/>
      </c>
      <c r="AC7" s="139">
        <f>+AC6</f>
        <v/>
      </c>
      <c r="AD7" s="139">
        <f>+AD6</f>
        <v/>
      </c>
      <c r="AE7" s="139">
        <f>+AE6</f>
        <v/>
      </c>
      <c r="AF7" s="139">
        <f>+AF6</f>
        <v/>
      </c>
      <c r="AG7" s="139">
        <f>+AG6</f>
        <v/>
      </c>
      <c r="AH7" s="139">
        <f>+AH6</f>
        <v/>
      </c>
      <c r="AI7" s="139">
        <f>+AI6</f>
        <v/>
      </c>
      <c r="AJ7" s="139">
        <f>+AJ6</f>
        <v/>
      </c>
      <c r="AK7" s="139">
        <f>+AK6</f>
        <v/>
      </c>
      <c r="AL7" s="140" t="n"/>
      <c r="AN7" s="21" t="n"/>
      <c r="AO7" s="20" t="n"/>
    </row>
    <row r="8" ht="56.25" customFormat="1" customHeight="1" s="11">
      <c r="A8" s="134" t="n"/>
      <c r="B8" s="174" t="inlineStr">
        <is>
          <t>PO 注文書</t>
        </is>
      </c>
      <c r="C8" s="142" t="n"/>
      <c r="D8" s="142" t="n"/>
      <c r="E8" s="142" t="n"/>
      <c r="F8" s="143" t="n"/>
      <c r="G8" s="144" t="n"/>
      <c r="H8" s="145" t="n"/>
      <c r="I8" s="144" t="n"/>
      <c r="J8" s="145" t="n"/>
      <c r="K8" s="145" t="n"/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/>
      <c r="U8" s="145" t="n"/>
      <c r="V8" s="145" t="n"/>
      <c r="W8" s="145" t="n"/>
      <c r="X8" s="145" t="n"/>
      <c r="Y8" s="145" t="n"/>
      <c r="Z8" s="145" t="n"/>
      <c r="AA8" s="145" t="n"/>
      <c r="AB8" s="145" t="n"/>
      <c r="AC8" s="145" t="n"/>
      <c r="AD8" s="145" t="n"/>
      <c r="AE8" s="145" t="n"/>
      <c r="AF8" s="145" t="n"/>
      <c r="AG8" s="145" t="n"/>
      <c r="AH8" s="145" t="n"/>
      <c r="AI8" s="145" t="n"/>
      <c r="AJ8" s="145" t="n">
        <v>100</v>
      </c>
      <c r="AK8" s="145" t="n"/>
      <c r="AL8" s="146">
        <f>SUM(G8:AK8)</f>
        <v/>
      </c>
      <c r="AN8" s="147" t="inlineStr">
        <is>
          <t>Tồn PO
注文の 残量</t>
        </is>
      </c>
      <c r="AO8" s="148">
        <f>AL8-AO9</f>
        <v/>
      </c>
    </row>
    <row r="9" ht="56.25" customHeight="1" s="127">
      <c r="A9" s="134" t="n"/>
      <c r="B9" s="111" t="inlineStr">
        <is>
          <t xml:space="preserve">計画数量
kế hoạch </t>
        </is>
      </c>
      <c r="C9" s="149" t="n"/>
      <c r="D9" s="149" t="n"/>
      <c r="E9" s="149" t="n"/>
      <c r="F9" s="150" t="n"/>
      <c r="G9" s="144" t="n"/>
      <c r="H9" s="144" t="n"/>
      <c r="I9" s="144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  <c r="AA9" s="145" t="n"/>
      <c r="AB9" s="145" t="n"/>
      <c r="AC9" s="145" t="n"/>
      <c r="AD9" s="145" t="n"/>
      <c r="AE9" s="145" t="n"/>
      <c r="AF9" s="145" t="n"/>
      <c r="AG9" s="145" t="n"/>
      <c r="AH9" s="145" t="n"/>
      <c r="AI9" s="145" t="n"/>
      <c r="AJ9" s="145" t="n"/>
      <c r="AK9" s="145" t="n"/>
      <c r="AL9" s="151">
        <f>SUM(G9:AK9)</f>
        <v/>
      </c>
      <c r="AM9" s="0" t="n"/>
      <c r="AN9" s="24" t="inlineStr">
        <is>
          <t>Tổng nhập 総入荷数量
（A)-(B)+(C)</t>
        </is>
      </c>
      <c r="AO9" s="152">
        <f>AL10-AL11+AL12</f>
        <v/>
      </c>
    </row>
    <row r="10" ht="56.25" customHeight="1" s="127">
      <c r="A10" s="134" t="n"/>
      <c r="B10" s="111" t="inlineStr">
        <is>
          <t>実際の納品数量
số lượng thực nhập</t>
        </is>
      </c>
      <c r="C10" s="149" t="n"/>
      <c r="D10" s="149" t="n"/>
      <c r="E10" s="149" t="n"/>
      <c r="F10" s="150" t="n"/>
      <c r="G10" s="153" t="n"/>
      <c r="H10" s="153" t="n"/>
      <c r="I10" s="154" t="n"/>
      <c r="J10" s="155" t="n"/>
      <c r="K10" s="156" t="n"/>
      <c r="L10" s="156" t="n"/>
      <c r="M10" s="155" t="n"/>
      <c r="N10" s="155" t="n">
        <v>100</v>
      </c>
      <c r="O10" s="155" t="n"/>
      <c r="P10" s="155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5" t="n"/>
      <c r="AD10" s="155" t="n"/>
      <c r="AE10" s="156" t="n"/>
      <c r="AF10" s="156" t="n"/>
      <c r="AG10" s="155" t="n"/>
      <c r="AH10" s="155" t="n"/>
      <c r="AI10" s="156" t="n"/>
      <c r="AJ10" s="156" t="n"/>
      <c r="AK10" s="156" t="n"/>
      <c r="AL10" s="157">
        <f>SUM(G10:AK10)</f>
        <v/>
      </c>
      <c r="AM10" s="6" t="inlineStr">
        <is>
          <t>(A)</t>
        </is>
      </c>
      <c r="AN10" s="24" t="inlineStr">
        <is>
          <t>Số lượng chưa khai tháng trước 先月まだ税関に申告されていない数量</t>
        </is>
      </c>
      <c r="AO10" s="148" t="n"/>
    </row>
    <row r="11" ht="56.25" customHeight="1" s="127">
      <c r="A11" s="134" t="n"/>
      <c r="B11" s="111" t="inlineStr">
        <is>
          <t>NG数量（DO SUNG 社変更済）
số lượng NG (Trả hàng DO SUNG)</t>
        </is>
      </c>
      <c r="C11" s="149" t="n"/>
      <c r="D11" s="149" t="n"/>
      <c r="E11" s="149" t="n"/>
      <c r="F11" s="150" t="n"/>
      <c r="G11" s="144" t="n"/>
      <c r="H11" s="144" t="n"/>
      <c r="I11" s="144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  <c r="AC11" s="145" t="n"/>
      <c r="AD11" s="145" t="n"/>
      <c r="AE11" s="145" t="n"/>
      <c r="AF11" s="145" t="n"/>
      <c r="AG11" s="145" t="n"/>
      <c r="AH11" s="145" t="n"/>
      <c r="AI11" s="145" t="n"/>
      <c r="AJ11" s="145" t="n"/>
      <c r="AK11" s="145" t="n"/>
      <c r="AL11" s="158">
        <f>SUM(G11:AK11)</f>
        <v/>
      </c>
      <c r="AM11" s="6" t="inlineStr">
        <is>
          <t>(B)</t>
        </is>
      </c>
      <c r="AN11" s="24" t="inlineStr">
        <is>
          <t>Số lượng đã khai tháng này 今月税関に申告された数量</t>
        </is>
      </c>
      <c r="AO11" s="26" t="n">
        <v>100</v>
      </c>
    </row>
    <row r="12" ht="56.25" customHeight="1" s="127" thickBot="1">
      <c r="A12" s="159" t="n"/>
      <c r="B12" s="109" t="inlineStr">
        <is>
          <t>NG数量（ドンスン　社しゅり済）
số lượng NG (DO SUNG đã sửa )</t>
        </is>
      </c>
      <c r="C12" s="160" t="n"/>
      <c r="D12" s="160" t="n"/>
      <c r="E12" s="160" t="n"/>
      <c r="F12" s="161" t="n"/>
      <c r="G12" s="162" t="n"/>
      <c r="H12" s="162" t="n"/>
      <c r="I12" s="163" t="n"/>
      <c r="J12" s="164" t="n"/>
      <c r="K12" s="165" t="n"/>
      <c r="L12" s="164" t="n"/>
      <c r="M12" s="164" t="n"/>
      <c r="N12" s="164" t="n"/>
      <c r="O12" s="164" t="n"/>
      <c r="P12" s="164" t="n"/>
      <c r="Q12" s="164" t="n"/>
      <c r="R12" s="165" t="n"/>
      <c r="S12" s="164" t="n"/>
      <c r="T12" s="164" t="n"/>
      <c r="U12" s="164" t="n"/>
      <c r="V12" s="164" t="n"/>
      <c r="W12" s="164" t="n"/>
      <c r="X12" s="164" t="n"/>
      <c r="Y12" s="165" t="n"/>
      <c r="Z12" s="164" t="n"/>
      <c r="AA12" s="164" t="n"/>
      <c r="AB12" s="164" t="n"/>
      <c r="AC12" s="164" t="n"/>
      <c r="AD12" s="164" t="n"/>
      <c r="AE12" s="165" t="n"/>
      <c r="AF12" s="165" t="n"/>
      <c r="AG12" s="164" t="n"/>
      <c r="AH12" s="164" t="n"/>
      <c r="AI12" s="164" t="n"/>
      <c r="AJ12" s="165" t="n"/>
      <c r="AK12" s="165" t="n"/>
      <c r="AL12" s="166">
        <f>SUM(G12:AK12)</f>
        <v/>
      </c>
      <c r="AM12" s="6" t="inlineStr">
        <is>
          <t>(C)</t>
        </is>
      </c>
      <c r="AN12" s="24" t="inlineStr">
        <is>
          <t>Số lượng còn lại chưa khai 残りの数量はまだ税関に申告されていません</t>
        </is>
      </c>
      <c r="AO12" s="148">
        <f>AO10+AO9-AO11</f>
        <v/>
      </c>
    </row>
    <row r="14" ht="21" customHeight="1" s="127" thickBot="1">
      <c r="B14" s="85" t="n">
        <v>2026</v>
      </c>
      <c r="D14" s="85" t="inlineStr">
        <is>
          <t>年</t>
        </is>
      </c>
      <c r="E14" s="85" t="n">
        <v>2</v>
      </c>
      <c r="F14" s="29" t="inlineStr">
        <is>
          <t>月</t>
        </is>
      </c>
      <c r="G14" s="8" t="n"/>
      <c r="H14" s="3" t="n"/>
      <c r="I14" s="3" t="n"/>
      <c r="J14" s="5" t="n"/>
      <c r="K14" s="5" t="n"/>
      <c r="L14" s="5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7" t="n"/>
    </row>
    <row r="15" ht="20.25" customFormat="1" customHeight="1" s="11">
      <c r="A15" s="173" t="inlineStr">
        <is>
          <t>mda0017 DLW231002-001</t>
        </is>
      </c>
      <c r="B15" s="106" t="inlineStr">
        <is>
          <t>輸送</t>
        </is>
      </c>
      <c r="C15" s="129" t="n"/>
      <c r="D15" s="107" t="inlineStr">
        <is>
          <t>日</t>
        </is>
      </c>
      <c r="E15" s="130" t="n"/>
      <c r="F15" s="131" t="n"/>
      <c r="G15" s="132">
        <f>DATE(B14,E14,1)</f>
        <v/>
      </c>
      <c r="H15" s="132">
        <f>IF(G15="","",IF(DAY(G15+1)=1,"",G15+1))</f>
        <v/>
      </c>
      <c r="I15" s="132">
        <f>IF(H15="","",IF(DAY(H15+1)=1,"",H15+1))</f>
        <v/>
      </c>
      <c r="J15" s="132">
        <f>IF(I15="","",IF(DAY(I15+1)=1,"",I15+1))</f>
        <v/>
      </c>
      <c r="K15" s="132">
        <f>IF(J15="","",IF(DAY(J15+1)=1,"",J15+1))</f>
        <v/>
      </c>
      <c r="L15" s="132">
        <f>IF(K15="","",IF(DAY(K15+1)=1,"",K15+1))</f>
        <v/>
      </c>
      <c r="M15" s="132">
        <f>IF(L15="","",IF(DAY(L15+1)=1,"",L15+1))</f>
        <v/>
      </c>
      <c r="N15" s="132">
        <f>IF(M15="","",IF(DAY(M15+1)=1,"",M15+1))</f>
        <v/>
      </c>
      <c r="O15" s="132">
        <f>IF(N15="","",IF(DAY(N15+1)=1,"",N15+1))</f>
        <v/>
      </c>
      <c r="P15" s="132">
        <f>IF(O15="","",IF(DAY(O15+1)=1,"",O15+1))</f>
        <v/>
      </c>
      <c r="Q15" s="132">
        <f>IF(P15="","",IF(DAY(P15+1)=1,"",P15+1))</f>
        <v/>
      </c>
      <c r="R15" s="132">
        <f>IF(Q15="","",IF(DAY(Q15+1)=1,"",Q15+1))</f>
        <v/>
      </c>
      <c r="S15" s="132">
        <f>IF(R15="","",IF(DAY(R15+1)=1,"",R15+1))</f>
        <v/>
      </c>
      <c r="T15" s="132">
        <f>IF(S15="","",IF(DAY(S15+1)=1,"",S15+1))</f>
        <v/>
      </c>
      <c r="U15" s="132">
        <f>IF(T15="","",IF(DAY(T15+1)=1,"",T15+1))</f>
        <v/>
      </c>
      <c r="V15" s="132">
        <f>IF(U15="","",IF(DAY(U15+1)=1,"",U15+1))</f>
        <v/>
      </c>
      <c r="W15" s="132">
        <f>IF(V15="","",IF(DAY(V15+1)=1,"",V15+1))</f>
        <v/>
      </c>
      <c r="X15" s="132">
        <f>IF(W15="","",IF(DAY(W15+1)=1,"",W15+1))</f>
        <v/>
      </c>
      <c r="Y15" s="132">
        <f>IF(X15="","",IF(DAY(X15+1)=1,"",X15+1))</f>
        <v/>
      </c>
      <c r="Z15" s="132">
        <f>IF(Y15="","",IF(DAY(Y15+1)=1,"",Y15+1))</f>
        <v/>
      </c>
      <c r="AA15" s="132">
        <f>IF(Z15="","",IF(DAY(Z15+1)=1,"",Z15+1))</f>
        <v/>
      </c>
      <c r="AB15" s="132">
        <f>IF(AA15="","",IF(DAY(AA15+1)=1,"",AA15+1))</f>
        <v/>
      </c>
      <c r="AC15" s="132">
        <f>IF(AB15="","",IF(DAY(AB15+1)=1,"",AB15+1))</f>
        <v/>
      </c>
      <c r="AD15" s="132">
        <f>IF(AC15="","",IF(DAY(AC15+1)=1,"",AC15+1))</f>
        <v/>
      </c>
      <c r="AE15" s="132">
        <f>IF(AD15="","",IF(DAY(AD15+1)=1,"",AD15+1))</f>
        <v/>
      </c>
      <c r="AF15" s="132">
        <f>IF(AE15="","",IF(DAY(AE15+1)=1,"",AE15+1))</f>
        <v/>
      </c>
      <c r="AG15" s="132">
        <f>IF(AF15="","",IF(DAY(AF15+1)=1,"",AF15+1))</f>
        <v/>
      </c>
      <c r="AH15" s="132">
        <f>IF(AG15="","",IF(DAY(AG15+1)=1,"",AG15+1))</f>
        <v/>
      </c>
      <c r="AI15" s="132">
        <f>IF(AH15="","",IF(DAY(AH15+1)=1,"",AH15+1))</f>
        <v/>
      </c>
      <c r="AJ15" s="132">
        <f>IF(AI15="","",IF(DAY(AI15+1)=1,"",AI15+1))</f>
        <v/>
      </c>
      <c r="AK15" s="132">
        <f>IF(AJ15="","",IF(DAY(AJ15+1)=1,"",AJ15+1))</f>
        <v/>
      </c>
      <c r="AL15" s="133" t="inlineStr">
        <is>
          <t>Total</t>
        </is>
      </c>
      <c r="AM15" s="7" t="n"/>
      <c r="AN15" s="21" t="n"/>
      <c r="AO15" s="20" t="n"/>
    </row>
    <row r="16" ht="20.25" customFormat="1" customHeight="1" s="11">
      <c r="A16" s="134" t="n"/>
      <c r="B16" s="135" t="n"/>
      <c r="C16" s="136" t="n"/>
      <c r="D16" s="102" t="inlineStr">
        <is>
          <t>時間</t>
        </is>
      </c>
      <c r="E16" s="137" t="n"/>
      <c r="F16" s="138" t="n"/>
      <c r="G16" s="139">
        <f>+G15</f>
        <v/>
      </c>
      <c r="H16" s="139">
        <f>+H15</f>
        <v/>
      </c>
      <c r="I16" s="139">
        <f>+I15</f>
        <v/>
      </c>
      <c r="J16" s="139">
        <f>+J15</f>
        <v/>
      </c>
      <c r="K16" s="139">
        <f>+K15</f>
        <v/>
      </c>
      <c r="L16" s="139">
        <f>+L15</f>
        <v/>
      </c>
      <c r="M16" s="139">
        <f>+M15</f>
        <v/>
      </c>
      <c r="N16" s="139">
        <f>+N15</f>
        <v/>
      </c>
      <c r="O16" s="139">
        <f>+O15</f>
        <v/>
      </c>
      <c r="P16" s="139">
        <f>+P15</f>
        <v/>
      </c>
      <c r="Q16" s="139">
        <f>+Q15</f>
        <v/>
      </c>
      <c r="R16" s="139">
        <f>+R15</f>
        <v/>
      </c>
      <c r="S16" s="139">
        <f>+S15</f>
        <v/>
      </c>
      <c r="T16" s="139">
        <f>+T15</f>
        <v/>
      </c>
      <c r="U16" s="139">
        <f>+U15</f>
        <v/>
      </c>
      <c r="V16" s="139">
        <f>+V15</f>
        <v/>
      </c>
      <c r="W16" s="139">
        <f>+W15</f>
        <v/>
      </c>
      <c r="X16" s="139">
        <f>+X15</f>
        <v/>
      </c>
      <c r="Y16" s="139">
        <f>+Y15</f>
        <v/>
      </c>
      <c r="Z16" s="139">
        <f>+Z15</f>
        <v/>
      </c>
      <c r="AA16" s="139">
        <f>+AA15</f>
        <v/>
      </c>
      <c r="AB16" s="139">
        <f>+AB15</f>
        <v/>
      </c>
      <c r="AC16" s="139">
        <f>+AC15</f>
        <v/>
      </c>
      <c r="AD16" s="139">
        <f>+AD15</f>
        <v/>
      </c>
      <c r="AE16" s="139">
        <f>+AE15</f>
        <v/>
      </c>
      <c r="AF16" s="139">
        <f>+AF15</f>
        <v/>
      </c>
      <c r="AG16" s="139">
        <f>+AG15</f>
        <v/>
      </c>
      <c r="AH16" s="139">
        <f>+AH15</f>
        <v/>
      </c>
      <c r="AI16" s="139">
        <f>+AI15</f>
        <v/>
      </c>
      <c r="AJ16" s="139">
        <f>+AJ15</f>
        <v/>
      </c>
      <c r="AK16" s="139">
        <f>+AK15</f>
        <v/>
      </c>
      <c r="AL16" s="140" t="n"/>
      <c r="AN16" s="21" t="n"/>
      <c r="AO16" s="20" t="n"/>
    </row>
    <row r="17" ht="56.25" customFormat="1" customHeight="1" s="11">
      <c r="A17" s="134" t="n"/>
      <c r="B17" s="174" t="inlineStr">
        <is>
          <t>PO 注文書</t>
        </is>
      </c>
      <c r="C17" s="142" t="n"/>
      <c r="D17" s="142" t="n"/>
      <c r="E17" s="142" t="n"/>
      <c r="F17" s="143" t="n"/>
      <c r="G17" s="144" t="n"/>
      <c r="H17" s="145" t="n"/>
      <c r="I17" s="144" t="n"/>
      <c r="J17" s="145" t="n"/>
      <c r="K17" s="145" t="n"/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  <c r="AA17" s="145" t="n"/>
      <c r="AB17" s="145" t="n"/>
      <c r="AC17" s="145" t="n"/>
      <c r="AD17" s="145" t="n"/>
      <c r="AE17" s="145" t="n"/>
      <c r="AF17" s="145" t="n"/>
      <c r="AG17" s="145" t="n"/>
      <c r="AH17" s="145" t="n"/>
      <c r="AI17" s="145" t="n"/>
      <c r="AJ17" s="145" t="n"/>
      <c r="AK17" s="145" t="n"/>
      <c r="AL17" s="146">
        <f>SUM(G17:AK17)</f>
        <v/>
      </c>
      <c r="AN17" s="147" t="inlineStr">
        <is>
          <t>Tồn PO
注文の 残量</t>
        </is>
      </c>
      <c r="AO17" s="148">
        <f>AO12+AL17-AO18</f>
        <v/>
      </c>
    </row>
    <row r="18" ht="56.25" customHeight="1" s="127">
      <c r="A18" s="134" t="n"/>
      <c r="B18" s="111" t="inlineStr">
        <is>
          <t xml:space="preserve">計画数量
kế hoạch </t>
        </is>
      </c>
      <c r="C18" s="149" t="n"/>
      <c r="D18" s="149" t="n"/>
      <c r="E18" s="149" t="n"/>
      <c r="F18" s="150" t="n"/>
      <c r="G18" s="144" t="n"/>
      <c r="H18" s="144" t="n"/>
      <c r="I18" s="144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  <c r="AA18" s="145" t="n"/>
      <c r="AB18" s="145" t="n"/>
      <c r="AC18" s="145" t="n"/>
      <c r="AD18" s="145" t="n"/>
      <c r="AE18" s="145" t="n"/>
      <c r="AF18" s="145" t="n"/>
      <c r="AG18" s="145" t="n"/>
      <c r="AH18" s="145" t="n"/>
      <c r="AI18" s="145" t="n"/>
      <c r="AJ18" s="145" t="n"/>
      <c r="AK18" s="145" t="n"/>
      <c r="AL18" s="151">
        <f>SUM(G18:AK18)</f>
        <v/>
      </c>
      <c r="AM18" s="0" t="n"/>
      <c r="AN18" s="24" t="inlineStr">
        <is>
          <t>Tổng nhập 総入荷数量
（A)-(B)+(C)</t>
        </is>
      </c>
      <c r="AO18" s="152">
        <f>AL19-AL20+AL21</f>
        <v/>
      </c>
    </row>
    <row r="19" ht="56.25" customHeight="1" s="127">
      <c r="A19" s="134" t="n"/>
      <c r="B19" s="111" t="inlineStr">
        <is>
          <t>実際の納品数量
số lượng thực nhập</t>
        </is>
      </c>
      <c r="C19" s="149" t="n"/>
      <c r="D19" s="149" t="n"/>
      <c r="E19" s="149" t="n"/>
      <c r="F19" s="150" t="n"/>
      <c r="G19" s="153" t="n"/>
      <c r="H19" s="153" t="n"/>
      <c r="I19" s="154" t="n"/>
      <c r="J19" s="155" t="n"/>
      <c r="K19" s="156" t="n"/>
      <c r="L19" s="156" t="n"/>
      <c r="M19" s="155" t="n">
        <v>112</v>
      </c>
      <c r="N19" s="155" t="n"/>
      <c r="O19" s="155" t="n"/>
      <c r="P19" s="155" t="n"/>
      <c r="Q19" s="156" t="n"/>
      <c r="R19" s="156" t="n"/>
      <c r="S19" s="156" t="n"/>
      <c r="T19" s="156" t="n"/>
      <c r="U19" s="156" t="n"/>
      <c r="V19" s="156" t="n"/>
      <c r="W19" s="156" t="n"/>
      <c r="X19" s="156" t="n"/>
      <c r="Y19" s="156" t="n"/>
      <c r="Z19" s="156" t="n"/>
      <c r="AA19" s="156" t="n"/>
      <c r="AB19" s="156" t="n"/>
      <c r="AC19" s="155" t="n"/>
      <c r="AD19" s="155" t="n"/>
      <c r="AE19" s="156" t="n"/>
      <c r="AF19" s="156" t="n"/>
      <c r="AG19" s="155" t="n"/>
      <c r="AH19" s="155" t="n"/>
      <c r="AI19" s="156" t="n"/>
      <c r="AJ19" s="156" t="n"/>
      <c r="AK19" s="156" t="n"/>
      <c r="AL19" s="157">
        <f>SUM(G19:AK19)</f>
        <v/>
      </c>
      <c r="AM19" s="6" t="inlineStr">
        <is>
          <t>(A)</t>
        </is>
      </c>
      <c r="AN19" s="24" t="inlineStr">
        <is>
          <t>Số lượng chưa khai tháng trước 先月まだ税関に申告されていない数量</t>
        </is>
      </c>
      <c r="AO19" s="148">
        <f>AO12</f>
        <v/>
      </c>
    </row>
    <row r="20" ht="56.25" customHeight="1" s="127">
      <c r="A20" s="134" t="n"/>
      <c r="B20" s="111" t="inlineStr">
        <is>
          <t>NG数量（DO SUNG 社変更済）
số lượng NG (Trả hàng DO SUNG)</t>
        </is>
      </c>
      <c r="C20" s="149" t="n"/>
      <c r="D20" s="149" t="n"/>
      <c r="E20" s="149" t="n"/>
      <c r="F20" s="150" t="n"/>
      <c r="G20" s="144" t="n"/>
      <c r="H20" s="144" t="n"/>
      <c r="I20" s="144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5" t="n"/>
      <c r="AF20" s="145" t="n"/>
      <c r="AG20" s="145" t="n"/>
      <c r="AH20" s="145" t="n"/>
      <c r="AI20" s="175" t="n"/>
      <c r="AJ20" s="145" t="n"/>
      <c r="AK20" s="145" t="n"/>
      <c r="AL20" s="158">
        <f>SUM(G20:AK20)</f>
        <v/>
      </c>
      <c r="AM20" s="6" t="inlineStr">
        <is>
          <t>(B)</t>
        </is>
      </c>
      <c r="AN20" s="24" t="inlineStr">
        <is>
          <t>Số lượng đã khai tháng này 今月税関に申告された数量</t>
        </is>
      </c>
      <c r="AO20" s="26" t="n"/>
    </row>
    <row r="21" ht="56.25" customHeight="1" s="127" thickBot="1">
      <c r="A21" s="159" t="n"/>
      <c r="B21" s="109" t="inlineStr">
        <is>
          <t>NG数量（ドンスン　社しゅり済）
số lượng NG (DO SUNG đã sửa )</t>
        </is>
      </c>
      <c r="C21" s="160" t="n"/>
      <c r="D21" s="160" t="n"/>
      <c r="E21" s="160" t="n"/>
      <c r="F21" s="161" t="n"/>
      <c r="G21" s="162" t="n"/>
      <c r="H21" s="162" t="n"/>
      <c r="I21" s="163" t="n"/>
      <c r="J21" s="164" t="n"/>
      <c r="K21" s="165" t="n"/>
      <c r="L21" s="164" t="n"/>
      <c r="M21" s="164" t="n"/>
      <c r="N21" s="164" t="n"/>
      <c r="O21" s="164" t="n"/>
      <c r="P21" s="164" t="n"/>
      <c r="Q21" s="164" t="n"/>
      <c r="R21" s="165" t="n"/>
      <c r="S21" s="164" t="n"/>
      <c r="T21" s="164" t="n"/>
      <c r="U21" s="164" t="n"/>
      <c r="V21" s="164" t="n"/>
      <c r="W21" s="164" t="n"/>
      <c r="X21" s="164" t="n"/>
      <c r="Y21" s="165" t="n"/>
      <c r="Z21" s="164" t="n"/>
      <c r="AA21" s="164" t="n"/>
      <c r="AB21" s="164" t="n"/>
      <c r="AC21" s="164" t="n"/>
      <c r="AD21" s="164" t="n"/>
      <c r="AE21" s="165" t="n"/>
      <c r="AF21" s="165" t="n"/>
      <c r="AG21" s="164" t="n"/>
      <c r="AH21" s="164" t="n"/>
      <c r="AI21" s="164" t="n"/>
      <c r="AJ21" s="165" t="n"/>
      <c r="AK21" s="165" t="n"/>
      <c r="AL21" s="166">
        <f>SUM(G21:AK21)</f>
        <v/>
      </c>
      <c r="AM21" s="6" t="inlineStr">
        <is>
          <t>(C)</t>
        </is>
      </c>
      <c r="AN21" s="24" t="inlineStr">
        <is>
          <t>Số lượng còn lại chưa khai 残りの数量はまだ税関に申告されていません</t>
        </is>
      </c>
      <c r="AO21" s="148">
        <f>AO19+AO18-AO20</f>
        <v/>
      </c>
    </row>
    <row r="23" ht="21" customHeight="1" s="127" thickBot="1">
      <c r="B23" s="85" t="n">
        <v>2026</v>
      </c>
      <c r="D23" s="85" t="inlineStr">
        <is>
          <t>年</t>
        </is>
      </c>
      <c r="E23" s="85" t="n">
        <v>3</v>
      </c>
      <c r="F23" s="29" t="inlineStr">
        <is>
          <t>月</t>
        </is>
      </c>
      <c r="G23" s="8" t="n"/>
      <c r="H23" s="3" t="n"/>
      <c r="I23" s="3" t="n"/>
      <c r="J23" s="5" t="n"/>
      <c r="K23" s="5" t="n"/>
      <c r="L23" s="5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7" t="n"/>
    </row>
    <row r="24" ht="20.25" customFormat="1" customHeight="1" s="11">
      <c r="A24" s="173" t="inlineStr">
        <is>
          <t>mda0017 DLW231002-001</t>
        </is>
      </c>
      <c r="B24" s="106" t="inlineStr">
        <is>
          <t>輸送</t>
        </is>
      </c>
      <c r="C24" s="129" t="n"/>
      <c r="D24" s="107" t="inlineStr">
        <is>
          <t>日</t>
        </is>
      </c>
      <c r="E24" s="130" t="n"/>
      <c r="F24" s="131" t="n"/>
      <c r="G24" s="132">
        <f>DATE(B23,E23,1)</f>
        <v/>
      </c>
      <c r="H24" s="132">
        <f>IF(G24="","",IF(DAY(G24+1)=1,"",G24+1))</f>
        <v/>
      </c>
      <c r="I24" s="132">
        <f>IF(H24="","",IF(DAY(H24+1)=1,"",H24+1))</f>
        <v/>
      </c>
      <c r="J24" s="132">
        <f>IF(I24="","",IF(DAY(I24+1)=1,"",I24+1))</f>
        <v/>
      </c>
      <c r="K24" s="132">
        <f>IF(J24="","",IF(DAY(J24+1)=1,"",J24+1))</f>
        <v/>
      </c>
      <c r="L24" s="132">
        <f>IF(K24="","",IF(DAY(K24+1)=1,"",K24+1))</f>
        <v/>
      </c>
      <c r="M24" s="132">
        <f>IF(L24="","",IF(DAY(L24+1)=1,"",L24+1))</f>
        <v/>
      </c>
      <c r="N24" s="132">
        <f>IF(M24="","",IF(DAY(M24+1)=1,"",M24+1))</f>
        <v/>
      </c>
      <c r="O24" s="132">
        <f>IF(N24="","",IF(DAY(N24+1)=1,"",N24+1))</f>
        <v/>
      </c>
      <c r="P24" s="132">
        <f>IF(O24="","",IF(DAY(O24+1)=1,"",O24+1))</f>
        <v/>
      </c>
      <c r="Q24" s="132">
        <f>IF(P24="","",IF(DAY(P24+1)=1,"",P24+1))</f>
        <v/>
      </c>
      <c r="R24" s="132">
        <f>IF(Q24="","",IF(DAY(Q24+1)=1,"",Q24+1))</f>
        <v/>
      </c>
      <c r="S24" s="132">
        <f>IF(R24="","",IF(DAY(R24+1)=1,"",R24+1))</f>
        <v/>
      </c>
      <c r="T24" s="132">
        <f>IF(S24="","",IF(DAY(S24+1)=1,"",S24+1))</f>
        <v/>
      </c>
      <c r="U24" s="132">
        <f>IF(T24="","",IF(DAY(T24+1)=1,"",T24+1))</f>
        <v/>
      </c>
      <c r="V24" s="132">
        <f>IF(U24="","",IF(DAY(U24+1)=1,"",U24+1))</f>
        <v/>
      </c>
      <c r="W24" s="132">
        <f>IF(V24="","",IF(DAY(V24+1)=1,"",V24+1))</f>
        <v/>
      </c>
      <c r="X24" s="132">
        <f>IF(W24="","",IF(DAY(W24+1)=1,"",W24+1))</f>
        <v/>
      </c>
      <c r="Y24" s="132">
        <f>IF(X24="","",IF(DAY(X24+1)=1,"",X24+1))</f>
        <v/>
      </c>
      <c r="Z24" s="132">
        <f>IF(Y24="","",IF(DAY(Y24+1)=1,"",Y24+1))</f>
        <v/>
      </c>
      <c r="AA24" s="132">
        <f>IF(Z24="","",IF(DAY(Z24+1)=1,"",Z24+1))</f>
        <v/>
      </c>
      <c r="AB24" s="132">
        <f>IF(AA24="","",IF(DAY(AA24+1)=1,"",AA24+1))</f>
        <v/>
      </c>
      <c r="AC24" s="132">
        <f>IF(AB24="","",IF(DAY(AB24+1)=1,"",AB24+1))</f>
        <v/>
      </c>
      <c r="AD24" s="132">
        <f>IF(AC24="","",IF(DAY(AC24+1)=1,"",AC24+1))</f>
        <v/>
      </c>
      <c r="AE24" s="132">
        <f>IF(AD24="","",IF(DAY(AD24+1)=1,"",AD24+1))</f>
        <v/>
      </c>
      <c r="AF24" s="132">
        <f>IF(AE24="","",IF(DAY(AE24+1)=1,"",AE24+1))</f>
        <v/>
      </c>
      <c r="AG24" s="132">
        <f>IF(AF24="","",IF(DAY(AF24+1)=1,"",AF24+1))</f>
        <v/>
      </c>
      <c r="AH24" s="132">
        <f>IF(AG24="","",IF(DAY(AG24+1)=1,"",AG24+1))</f>
        <v/>
      </c>
      <c r="AI24" s="132">
        <f>IF(AH24="","",IF(DAY(AH24+1)=1,"",AH24+1))</f>
        <v/>
      </c>
      <c r="AJ24" s="132">
        <f>IF(AI24="","",IF(DAY(AI24+1)=1,"",AI24+1))</f>
        <v/>
      </c>
      <c r="AK24" s="132">
        <f>IF(AJ24="","",IF(DAY(AJ24+1)=1,"",AJ24+1))</f>
        <v/>
      </c>
      <c r="AL24" s="133" t="inlineStr">
        <is>
          <t>Total</t>
        </is>
      </c>
      <c r="AM24" s="7" t="n"/>
      <c r="AN24" s="21" t="n"/>
      <c r="AO24" s="20" t="n"/>
    </row>
    <row r="25" ht="20.25" customFormat="1" customHeight="1" s="11">
      <c r="A25" s="134" t="n"/>
      <c r="B25" s="135" t="n"/>
      <c r="C25" s="136" t="n"/>
      <c r="D25" s="102" t="inlineStr">
        <is>
          <t>時間</t>
        </is>
      </c>
      <c r="E25" s="137" t="n"/>
      <c r="F25" s="138" t="n"/>
      <c r="G25" s="139">
        <f>+G24</f>
        <v/>
      </c>
      <c r="H25" s="139">
        <f>+H24</f>
        <v/>
      </c>
      <c r="I25" s="139">
        <f>+I24</f>
        <v/>
      </c>
      <c r="J25" s="139">
        <f>+J24</f>
        <v/>
      </c>
      <c r="K25" s="139">
        <f>+K24</f>
        <v/>
      </c>
      <c r="L25" s="139">
        <f>+L24</f>
        <v/>
      </c>
      <c r="M25" s="139">
        <f>+M24</f>
        <v/>
      </c>
      <c r="N25" s="139">
        <f>+N24</f>
        <v/>
      </c>
      <c r="O25" s="139">
        <f>+O24</f>
        <v/>
      </c>
      <c r="P25" s="139">
        <f>+P24</f>
        <v/>
      </c>
      <c r="Q25" s="139">
        <f>+Q24</f>
        <v/>
      </c>
      <c r="R25" s="139">
        <f>+R24</f>
        <v/>
      </c>
      <c r="S25" s="139">
        <f>+S24</f>
        <v/>
      </c>
      <c r="T25" s="139">
        <f>+T24</f>
        <v/>
      </c>
      <c r="U25" s="139">
        <f>+U24</f>
        <v/>
      </c>
      <c r="V25" s="139">
        <f>+V24</f>
        <v/>
      </c>
      <c r="W25" s="139">
        <f>+W24</f>
        <v/>
      </c>
      <c r="X25" s="139">
        <f>+X24</f>
        <v/>
      </c>
      <c r="Y25" s="139">
        <f>+Y24</f>
        <v/>
      </c>
      <c r="Z25" s="139">
        <f>+Z24</f>
        <v/>
      </c>
      <c r="AA25" s="139">
        <f>+AA24</f>
        <v/>
      </c>
      <c r="AB25" s="139">
        <f>+AB24</f>
        <v/>
      </c>
      <c r="AC25" s="139">
        <f>+AC24</f>
        <v/>
      </c>
      <c r="AD25" s="139">
        <f>+AD24</f>
        <v/>
      </c>
      <c r="AE25" s="139">
        <f>+AE24</f>
        <v/>
      </c>
      <c r="AF25" s="139">
        <f>+AF24</f>
        <v/>
      </c>
      <c r="AG25" s="139">
        <f>+AG24</f>
        <v/>
      </c>
      <c r="AH25" s="139">
        <f>+AH24</f>
        <v/>
      </c>
      <c r="AI25" s="139">
        <f>+AI24</f>
        <v/>
      </c>
      <c r="AJ25" s="139">
        <f>+AJ24</f>
        <v/>
      </c>
      <c r="AK25" s="139">
        <f>+AK24</f>
        <v/>
      </c>
      <c r="AL25" s="140" t="n"/>
      <c r="AN25" s="21" t="n"/>
      <c r="AO25" s="20" t="n"/>
    </row>
    <row r="26" ht="56.25" customFormat="1" customHeight="1" s="11">
      <c r="A26" s="134" t="n"/>
      <c r="B26" s="174" t="inlineStr">
        <is>
          <t>PO 注文書</t>
        </is>
      </c>
      <c r="C26" s="142" t="n"/>
      <c r="D26" s="142" t="n"/>
      <c r="E26" s="142" t="n"/>
      <c r="F26" s="143" t="n"/>
      <c r="G26" s="144" t="n"/>
      <c r="H26" s="145" t="n"/>
      <c r="I26" s="144" t="n"/>
      <c r="J26" s="145" t="n"/>
      <c r="K26" s="145" t="n"/>
      <c r="L26" s="145" t="n"/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  <c r="AA26" s="145" t="n"/>
      <c r="AB26" s="145" t="n"/>
      <c r="AC26" s="145" t="n"/>
      <c r="AD26" s="145" t="n"/>
      <c r="AE26" s="145" t="n"/>
      <c r="AF26" s="145" t="n"/>
      <c r="AG26" s="145" t="n"/>
      <c r="AH26" s="145" t="n"/>
      <c r="AI26" s="145" t="n"/>
      <c r="AJ26" s="145" t="n"/>
      <c r="AK26" s="145" t="n"/>
      <c r="AL26" s="146">
        <f>SUM(G26:AK26)</f>
        <v/>
      </c>
      <c r="AN26" s="147" t="inlineStr">
        <is>
          <t>Tồn PO
注文の 残量</t>
        </is>
      </c>
      <c r="AO26" s="148">
        <f>AO21+AL26-AO27</f>
        <v/>
      </c>
    </row>
    <row r="27" ht="56.25" customHeight="1" s="127">
      <c r="A27" s="134" t="n"/>
      <c r="B27" s="111" t="inlineStr">
        <is>
          <t xml:space="preserve">計画数量
kế hoạch </t>
        </is>
      </c>
      <c r="C27" s="149" t="n"/>
      <c r="D27" s="149" t="n"/>
      <c r="E27" s="149" t="n"/>
      <c r="F27" s="150" t="n"/>
      <c r="G27" s="144" t="n"/>
      <c r="H27" s="144" t="n"/>
      <c r="I27" s="144" t="n"/>
      <c r="J27" s="145" t="n"/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  <c r="AA27" s="145" t="n"/>
      <c r="AB27" s="145" t="n"/>
      <c r="AC27" s="145" t="n"/>
      <c r="AD27" s="145" t="n"/>
      <c r="AE27" s="145" t="n"/>
      <c r="AF27" s="145" t="n"/>
      <c r="AG27" s="145" t="n"/>
      <c r="AH27" s="145" t="n"/>
      <c r="AI27" s="145" t="n"/>
      <c r="AJ27" s="145" t="n"/>
      <c r="AK27" s="145" t="n"/>
      <c r="AL27" s="151">
        <f>SUM(G27:AK27)</f>
        <v/>
      </c>
      <c r="AM27" s="0" t="n"/>
      <c r="AN27" s="24" t="inlineStr">
        <is>
          <t>Tổng nhập 総入荷数量
（A)-(B)+(C)</t>
        </is>
      </c>
      <c r="AO27" s="152">
        <f>AL28-AL29+AL30</f>
        <v/>
      </c>
    </row>
    <row r="28" ht="56.25" customHeight="1" s="127">
      <c r="A28" s="134" t="n"/>
      <c r="B28" s="111" t="inlineStr">
        <is>
          <t>実際の納品数量
số lượng thực nhập</t>
        </is>
      </c>
      <c r="C28" s="149" t="n"/>
      <c r="D28" s="149" t="n"/>
      <c r="E28" s="149" t="n"/>
      <c r="F28" s="150" t="n"/>
      <c r="G28" s="153" t="n"/>
      <c r="H28" s="153" t="n"/>
      <c r="I28" s="154" t="n"/>
      <c r="J28" s="155" t="n"/>
      <c r="K28" s="156" t="n"/>
      <c r="L28" s="156" t="n"/>
      <c r="M28" s="155" t="n"/>
      <c r="N28" s="155" t="n"/>
      <c r="O28" s="155" t="n"/>
      <c r="P28" s="155" t="n"/>
      <c r="Q28" s="156" t="n"/>
      <c r="R28" s="156" t="n"/>
      <c r="S28" s="156" t="n"/>
      <c r="T28" s="156" t="n"/>
      <c r="U28" s="156" t="n"/>
      <c r="V28" s="156" t="n"/>
      <c r="W28" s="156" t="n"/>
      <c r="X28" s="156" t="n"/>
      <c r="Y28" s="156" t="n"/>
      <c r="Z28" s="156" t="n"/>
      <c r="AA28" s="156" t="n"/>
      <c r="AB28" s="156" t="n"/>
      <c r="AC28" s="155" t="n"/>
      <c r="AD28" s="155" t="n"/>
      <c r="AE28" s="156" t="n"/>
      <c r="AF28" s="156" t="n"/>
      <c r="AG28" s="155" t="n"/>
      <c r="AH28" s="155" t="n"/>
      <c r="AI28" s="156" t="n"/>
      <c r="AJ28" s="156" t="n"/>
      <c r="AK28" s="156" t="n"/>
      <c r="AL28" s="157">
        <f>SUM(G28:AK28)</f>
        <v/>
      </c>
      <c r="AM28" s="6" t="inlineStr">
        <is>
          <t>(A)</t>
        </is>
      </c>
      <c r="AN28" s="24" t="inlineStr">
        <is>
          <t>Số lượng chưa khai tháng trước 先月まだ税関に申告されていない数量</t>
        </is>
      </c>
      <c r="AO28" s="148">
        <f>AO21</f>
        <v/>
      </c>
    </row>
    <row r="29" ht="56.25" customHeight="1" s="127">
      <c r="A29" s="134" t="n"/>
      <c r="B29" s="111" t="inlineStr">
        <is>
          <t>NG数量（DO SUNG 社変更済）
số lượng NG (Trả hàng DO SUNG)</t>
        </is>
      </c>
      <c r="C29" s="149" t="n"/>
      <c r="D29" s="149" t="n"/>
      <c r="E29" s="149" t="n"/>
      <c r="F29" s="150" t="n"/>
      <c r="G29" s="144" t="n"/>
      <c r="H29" s="144" t="n"/>
      <c r="I29" s="144" t="n">
        <v>94</v>
      </c>
      <c r="J29" s="145" t="n"/>
      <c r="K29" s="145" t="n"/>
      <c r="L29" s="145" t="n"/>
      <c r="M29" s="145" t="n"/>
      <c r="N29" s="145" t="n"/>
      <c r="O29" s="145" t="n"/>
      <c r="P29" s="145" t="n"/>
      <c r="Q29" s="145" t="n"/>
      <c r="R29" s="145" t="n"/>
      <c r="S29" s="145" t="n"/>
      <c r="T29" s="145" t="n"/>
      <c r="U29" s="145" t="n"/>
      <c r="V29" s="145" t="n"/>
      <c r="W29" s="145" t="n"/>
      <c r="X29" s="145" t="n"/>
      <c r="Y29" s="145" t="n"/>
      <c r="Z29" s="145" t="n"/>
      <c r="AA29" s="145" t="n"/>
      <c r="AB29" s="145" t="n"/>
      <c r="AC29" s="145" t="n"/>
      <c r="AD29" s="145" t="n"/>
      <c r="AE29" s="145" t="n"/>
      <c r="AF29" s="145" t="n"/>
      <c r="AG29" s="145" t="n"/>
      <c r="AH29" s="145" t="n"/>
      <c r="AI29" s="145" t="n"/>
      <c r="AJ29" s="145" t="n"/>
      <c r="AK29" s="145" t="n"/>
      <c r="AL29" s="158">
        <f>SUM(G29:AK29)</f>
        <v/>
      </c>
      <c r="AM29" s="6" t="inlineStr">
        <is>
          <t>(B)</t>
        </is>
      </c>
      <c r="AN29" s="24" t="inlineStr">
        <is>
          <t>Số lượng đã khai tháng này 今月税関に申告された数量</t>
        </is>
      </c>
      <c r="AO29" s="26" t="n">
        <v>12</v>
      </c>
    </row>
    <row r="30" ht="56.25" customHeight="1" s="127" thickBot="1">
      <c r="A30" s="159" t="n"/>
      <c r="B30" s="109" t="inlineStr">
        <is>
          <t>NG数量（ドンスン　社しゅり済）
số lượng NG (DO SUNG đã sửa )</t>
        </is>
      </c>
      <c r="C30" s="160" t="n"/>
      <c r="D30" s="160" t="n"/>
      <c r="E30" s="160" t="n"/>
      <c r="F30" s="161" t="n"/>
      <c r="G30" s="162" t="n"/>
      <c r="H30" s="162" t="n"/>
      <c r="I30" s="163" t="n"/>
      <c r="J30" s="164" t="n"/>
      <c r="K30" s="165" t="n"/>
      <c r="L30" s="164" t="n"/>
      <c r="M30" s="164" t="n"/>
      <c r="N30" s="164" t="n"/>
      <c r="O30" s="164" t="n"/>
      <c r="P30" s="164" t="n"/>
      <c r="Q30" s="164" t="n"/>
      <c r="R30" s="165" t="n"/>
      <c r="S30" s="164" t="n"/>
      <c r="T30" s="164" t="n"/>
      <c r="U30" s="164" t="n"/>
      <c r="V30" s="164" t="n"/>
      <c r="W30" s="164" t="n"/>
      <c r="X30" s="164" t="n"/>
      <c r="Y30" s="165" t="n"/>
      <c r="Z30" s="164" t="n"/>
      <c r="AA30" s="164" t="n"/>
      <c r="AB30" s="164" t="n"/>
      <c r="AC30" s="164" t="n"/>
      <c r="AD30" s="164" t="n"/>
      <c r="AE30" s="165" t="n"/>
      <c r="AF30" s="165" t="n"/>
      <c r="AG30" s="164" t="n"/>
      <c r="AH30" s="164" t="n"/>
      <c r="AI30" s="164" t="n"/>
      <c r="AJ30" s="165" t="n"/>
      <c r="AK30" s="165" t="n"/>
      <c r="AL30" s="166">
        <f>SUM(G30:AK30)</f>
        <v/>
      </c>
      <c r="AM30" s="6" t="inlineStr">
        <is>
          <t>(C)</t>
        </is>
      </c>
      <c r="AN30" s="24" t="inlineStr">
        <is>
          <t>Số lượng còn lại chưa khai 残りの数量はまだ税関に申告されていません</t>
        </is>
      </c>
      <c r="AO30" s="148">
        <f>AO28+AO27-AO29</f>
        <v/>
      </c>
    </row>
    <row r="32" ht="21" customHeight="1" s="127" thickBot="1">
      <c r="B32" s="85" t="n">
        <v>2026</v>
      </c>
      <c r="D32" s="85" t="inlineStr">
        <is>
          <t>年</t>
        </is>
      </c>
      <c r="E32" s="85" t="n">
        <v>4</v>
      </c>
      <c r="F32" s="29" t="inlineStr">
        <is>
          <t>月</t>
        </is>
      </c>
      <c r="G32" s="8" t="n"/>
      <c r="H32" s="3" t="n"/>
      <c r="I32" s="3" t="n"/>
      <c r="J32" s="5" t="n"/>
      <c r="K32" s="5" t="n"/>
      <c r="L32" s="5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7" t="n"/>
    </row>
    <row r="33" ht="20.25" customFormat="1" customHeight="1" s="11">
      <c r="A33" s="173" t="inlineStr">
        <is>
          <t>mda0017 DLW231002-001</t>
        </is>
      </c>
      <c r="B33" s="106" t="inlineStr">
        <is>
          <t>輸送</t>
        </is>
      </c>
      <c r="C33" s="129" t="n"/>
      <c r="D33" s="107" t="inlineStr">
        <is>
          <t>日</t>
        </is>
      </c>
      <c r="E33" s="130" t="n"/>
      <c r="F33" s="131" t="n"/>
      <c r="G33" s="132">
        <f>DATE(B32,E32,1)</f>
        <v/>
      </c>
      <c r="H33" s="132">
        <f>IF(G33="","",IF(DAY(G33+1)=1,"",G33+1))</f>
        <v/>
      </c>
      <c r="I33" s="132">
        <f>IF(H33="","",IF(DAY(H33+1)=1,"",H33+1))</f>
        <v/>
      </c>
      <c r="J33" s="132">
        <f>IF(I33="","",IF(DAY(I33+1)=1,"",I33+1))</f>
        <v/>
      </c>
      <c r="K33" s="132">
        <f>IF(J33="","",IF(DAY(J33+1)=1,"",J33+1))</f>
        <v/>
      </c>
      <c r="L33" s="132">
        <f>IF(K33="","",IF(DAY(K33+1)=1,"",K33+1))</f>
        <v/>
      </c>
      <c r="M33" s="132">
        <f>IF(L33="","",IF(DAY(L33+1)=1,"",L33+1))</f>
        <v/>
      </c>
      <c r="N33" s="132">
        <f>IF(M33="","",IF(DAY(M33+1)=1,"",M33+1))</f>
        <v/>
      </c>
      <c r="O33" s="132">
        <f>IF(N33="","",IF(DAY(N33+1)=1,"",N33+1))</f>
        <v/>
      </c>
      <c r="P33" s="132">
        <f>IF(O33="","",IF(DAY(O33+1)=1,"",O33+1))</f>
        <v/>
      </c>
      <c r="Q33" s="132">
        <f>IF(P33="","",IF(DAY(P33+1)=1,"",P33+1))</f>
        <v/>
      </c>
      <c r="R33" s="132">
        <f>IF(Q33="","",IF(DAY(Q33+1)=1,"",Q33+1))</f>
        <v/>
      </c>
      <c r="S33" s="132">
        <f>IF(R33="","",IF(DAY(R33+1)=1,"",R33+1))</f>
        <v/>
      </c>
      <c r="T33" s="132">
        <f>IF(S33="","",IF(DAY(S33+1)=1,"",S33+1))</f>
        <v/>
      </c>
      <c r="U33" s="132">
        <f>IF(T33="","",IF(DAY(T33+1)=1,"",T33+1))</f>
        <v/>
      </c>
      <c r="V33" s="132">
        <f>IF(U33="","",IF(DAY(U33+1)=1,"",U33+1))</f>
        <v/>
      </c>
      <c r="W33" s="132">
        <f>IF(V33="","",IF(DAY(V33+1)=1,"",V33+1))</f>
        <v/>
      </c>
      <c r="X33" s="132">
        <f>IF(W33="","",IF(DAY(W33+1)=1,"",W33+1))</f>
        <v/>
      </c>
      <c r="Y33" s="132">
        <f>IF(X33="","",IF(DAY(X33+1)=1,"",X33+1))</f>
        <v/>
      </c>
      <c r="Z33" s="132">
        <f>IF(Y33="","",IF(DAY(Y33+1)=1,"",Y33+1))</f>
        <v/>
      </c>
      <c r="AA33" s="132">
        <f>IF(Z33="","",IF(DAY(Z33+1)=1,"",Z33+1))</f>
        <v/>
      </c>
      <c r="AB33" s="132">
        <f>IF(AA33="","",IF(DAY(AA33+1)=1,"",AA33+1))</f>
        <v/>
      </c>
      <c r="AC33" s="132">
        <f>IF(AB33="","",IF(DAY(AB33+1)=1,"",AB33+1))</f>
        <v/>
      </c>
      <c r="AD33" s="132">
        <f>IF(AC33="","",IF(DAY(AC33+1)=1,"",AC33+1))</f>
        <v/>
      </c>
      <c r="AE33" s="132">
        <f>IF(AD33="","",IF(DAY(AD33+1)=1,"",AD33+1))</f>
        <v/>
      </c>
      <c r="AF33" s="132">
        <f>IF(AE33="","",IF(DAY(AE33+1)=1,"",AE33+1))</f>
        <v/>
      </c>
      <c r="AG33" s="132">
        <f>IF(AF33="","",IF(DAY(AF33+1)=1,"",AF33+1))</f>
        <v/>
      </c>
      <c r="AH33" s="132">
        <f>IF(AG33="","",IF(DAY(AG33+1)=1,"",AG33+1))</f>
        <v/>
      </c>
      <c r="AI33" s="132">
        <f>IF(AH33="","",IF(DAY(AH33+1)=1,"",AH33+1))</f>
        <v/>
      </c>
      <c r="AJ33" s="132">
        <f>IF(AI33="","",IF(DAY(AI33+1)=1,"",AI33+1))</f>
        <v/>
      </c>
      <c r="AK33" s="132">
        <f>IF(AJ33="","",IF(DAY(AJ33+1)=1,"",AJ33+1))</f>
        <v/>
      </c>
      <c r="AL33" s="133" t="inlineStr">
        <is>
          <t>Total</t>
        </is>
      </c>
      <c r="AM33" s="7" t="n"/>
      <c r="AN33" s="21" t="n"/>
      <c r="AO33" s="20" t="n"/>
    </row>
    <row r="34" ht="20.25" customFormat="1" customHeight="1" s="11">
      <c r="A34" s="134" t="n"/>
      <c r="B34" s="135" t="n"/>
      <c r="C34" s="136" t="n"/>
      <c r="D34" s="102" t="inlineStr">
        <is>
          <t>時間</t>
        </is>
      </c>
      <c r="E34" s="137" t="n"/>
      <c r="F34" s="138" t="n"/>
      <c r="G34" s="139">
        <f>+G33</f>
        <v/>
      </c>
      <c r="H34" s="139">
        <f>+H33</f>
        <v/>
      </c>
      <c r="I34" s="139">
        <f>+I33</f>
        <v/>
      </c>
      <c r="J34" s="139">
        <f>+J33</f>
        <v/>
      </c>
      <c r="K34" s="139">
        <f>+K33</f>
        <v/>
      </c>
      <c r="L34" s="139">
        <f>+L33</f>
        <v/>
      </c>
      <c r="M34" s="139">
        <f>+M33</f>
        <v/>
      </c>
      <c r="N34" s="139">
        <f>+N33</f>
        <v/>
      </c>
      <c r="O34" s="139">
        <f>+O33</f>
        <v/>
      </c>
      <c r="P34" s="139">
        <f>+P33</f>
        <v/>
      </c>
      <c r="Q34" s="139">
        <f>+Q33</f>
        <v/>
      </c>
      <c r="R34" s="139">
        <f>+R33</f>
        <v/>
      </c>
      <c r="S34" s="139">
        <f>+S33</f>
        <v/>
      </c>
      <c r="T34" s="139">
        <f>+T33</f>
        <v/>
      </c>
      <c r="U34" s="139">
        <f>+U33</f>
        <v/>
      </c>
      <c r="V34" s="139">
        <f>+V33</f>
        <v/>
      </c>
      <c r="W34" s="139">
        <f>+W33</f>
        <v/>
      </c>
      <c r="X34" s="139">
        <f>+X33</f>
        <v/>
      </c>
      <c r="Y34" s="139">
        <f>+Y33</f>
        <v/>
      </c>
      <c r="Z34" s="139">
        <f>+Z33</f>
        <v/>
      </c>
      <c r="AA34" s="139">
        <f>+AA33</f>
        <v/>
      </c>
      <c r="AB34" s="139">
        <f>+AB33</f>
        <v/>
      </c>
      <c r="AC34" s="139">
        <f>+AC33</f>
        <v/>
      </c>
      <c r="AD34" s="139">
        <f>+AD33</f>
        <v/>
      </c>
      <c r="AE34" s="139">
        <f>+AE33</f>
        <v/>
      </c>
      <c r="AF34" s="139">
        <f>+AF33</f>
        <v/>
      </c>
      <c r="AG34" s="139">
        <f>+AG33</f>
        <v/>
      </c>
      <c r="AH34" s="139">
        <f>+AH33</f>
        <v/>
      </c>
      <c r="AI34" s="139">
        <f>+AI33</f>
        <v/>
      </c>
      <c r="AJ34" s="139">
        <f>+AJ33</f>
        <v/>
      </c>
      <c r="AK34" s="139">
        <f>+AK33</f>
        <v/>
      </c>
      <c r="AL34" s="140" t="n"/>
      <c r="AN34" s="21" t="n"/>
      <c r="AO34" s="20" t="n"/>
    </row>
    <row r="35" ht="56.25" customFormat="1" customHeight="1" s="11">
      <c r="A35" s="134" t="n"/>
      <c r="B35" s="174" t="inlineStr">
        <is>
          <t>PO 注文書</t>
        </is>
      </c>
      <c r="C35" s="142" t="n"/>
      <c r="D35" s="142" t="n"/>
      <c r="E35" s="142" t="n"/>
      <c r="F35" s="143" t="n"/>
      <c r="G35" s="144" t="n"/>
      <c r="H35" s="145" t="n"/>
      <c r="I35" s="144" t="n"/>
      <c r="J35" s="145" t="n"/>
      <c r="K35" s="145" t="n"/>
      <c r="L35" s="145" t="n"/>
      <c r="M35" s="145" t="n"/>
      <c r="N35" s="145" t="n"/>
      <c r="O35" s="145" t="n"/>
      <c r="P35" s="145" t="n"/>
      <c r="Q35" s="145" t="n"/>
      <c r="R35" s="145" t="n"/>
      <c r="S35" s="145" t="n"/>
      <c r="T35" s="145" t="n"/>
      <c r="U35" s="145" t="n"/>
      <c r="V35" s="145" t="n"/>
      <c r="W35" s="145" t="n"/>
      <c r="X35" s="145" t="n"/>
      <c r="Y35" s="145" t="n"/>
      <c r="Z35" s="145" t="n"/>
      <c r="AA35" s="145" t="n"/>
      <c r="AB35" s="145" t="n"/>
      <c r="AC35" s="145" t="n"/>
      <c r="AD35" s="145" t="n"/>
      <c r="AE35" s="145" t="n"/>
      <c r="AF35" s="145" t="n"/>
      <c r="AG35" s="145" t="n"/>
      <c r="AH35" s="145" t="n"/>
      <c r="AI35" s="145" t="n"/>
      <c r="AJ35" s="145" t="n"/>
      <c r="AK35" s="145" t="n"/>
      <c r="AL35" s="146">
        <f>SUM(G35:AK35)</f>
        <v/>
      </c>
      <c r="AN35" s="147" t="inlineStr">
        <is>
          <t>Tồn PO
注文の 残量</t>
        </is>
      </c>
      <c r="AO35" s="148">
        <f>AO30+AL35-AO36</f>
        <v/>
      </c>
    </row>
    <row r="36" ht="56.25" customHeight="1" s="127">
      <c r="A36" s="134" t="n"/>
      <c r="B36" s="111" t="inlineStr">
        <is>
          <t xml:space="preserve">計画数量
kế hoạch </t>
        </is>
      </c>
      <c r="C36" s="149" t="n"/>
      <c r="D36" s="149" t="n"/>
      <c r="E36" s="149" t="n"/>
      <c r="F36" s="150" t="n"/>
      <c r="G36" s="144" t="n"/>
      <c r="H36" s="144" t="n"/>
      <c r="I36" s="144" t="n"/>
      <c r="J36" s="145" t="n"/>
      <c r="K36" s="145" t="n"/>
      <c r="L36" s="145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  <c r="AA36" s="145" t="n"/>
      <c r="AB36" s="145" t="n"/>
      <c r="AC36" s="145" t="n"/>
      <c r="AD36" s="145" t="n"/>
      <c r="AE36" s="145" t="n"/>
      <c r="AF36" s="145" t="n"/>
      <c r="AG36" s="145" t="n"/>
      <c r="AH36" s="145" t="n"/>
      <c r="AI36" s="145" t="n"/>
      <c r="AJ36" s="145" t="n"/>
      <c r="AK36" s="145" t="n"/>
      <c r="AL36" s="151">
        <f>SUM(G36:AK36)</f>
        <v/>
      </c>
      <c r="AM36" s="0" t="n"/>
      <c r="AN36" s="24" t="inlineStr">
        <is>
          <t>Tổng nhập 総入荷数量
（A)-(B)+(C)</t>
        </is>
      </c>
      <c r="AO36" s="152">
        <f>AL37-AL38+AL39</f>
        <v/>
      </c>
    </row>
    <row r="37" ht="56.25" customHeight="1" s="127">
      <c r="A37" s="134" t="n"/>
      <c r="B37" s="111" t="inlineStr">
        <is>
          <t>実際の納品数量
số lượng thực nhập</t>
        </is>
      </c>
      <c r="C37" s="149" t="n"/>
      <c r="D37" s="149" t="n"/>
      <c r="E37" s="149" t="n"/>
      <c r="F37" s="150" t="n"/>
      <c r="G37" s="153" t="n"/>
      <c r="H37" s="153" t="n"/>
      <c r="I37" s="154" t="n"/>
      <c r="J37" s="155" t="n"/>
      <c r="K37" s="156" t="n"/>
      <c r="L37" s="156" t="n"/>
      <c r="M37" s="155" t="n"/>
      <c r="N37" s="155" t="n"/>
      <c r="O37" s="155" t="n"/>
      <c r="P37" s="155" t="n"/>
      <c r="Q37" s="156" t="n"/>
      <c r="R37" s="156" t="n"/>
      <c r="S37" s="156" t="n"/>
      <c r="T37" s="156" t="n"/>
      <c r="U37" s="156" t="n"/>
      <c r="V37" s="156" t="n"/>
      <c r="W37" s="156" t="n"/>
      <c r="X37" s="156" t="n"/>
      <c r="Y37" s="156" t="n"/>
      <c r="Z37" s="156" t="n"/>
      <c r="AA37" s="156" t="n"/>
      <c r="AB37" s="156" t="n"/>
      <c r="AC37" s="155" t="n"/>
      <c r="AD37" s="155" t="n"/>
      <c r="AE37" s="156" t="n"/>
      <c r="AF37" s="156" t="n"/>
      <c r="AG37" s="155" t="n"/>
      <c r="AH37" s="155" t="n"/>
      <c r="AI37" s="156" t="n"/>
      <c r="AJ37" s="156" t="n"/>
      <c r="AK37" s="156" t="n"/>
      <c r="AL37" s="157">
        <f>SUM(G37:AK37)</f>
        <v/>
      </c>
      <c r="AM37" s="6" t="inlineStr">
        <is>
          <t>(A)</t>
        </is>
      </c>
      <c r="AN37" s="24" t="inlineStr">
        <is>
          <t>Số lượng chưa khai tháng trước 先月まだ税関に申告されていない数量</t>
        </is>
      </c>
      <c r="AO37" s="148">
        <f>AO30</f>
        <v/>
      </c>
    </row>
    <row r="38" ht="56.25" customHeight="1" s="127">
      <c r="A38" s="134" t="n"/>
      <c r="B38" s="111" t="inlineStr">
        <is>
          <t>NG数量（DO SUNG 社変更済）
số lượng NG (Trả hàng DO SUNG)</t>
        </is>
      </c>
      <c r="C38" s="149" t="n"/>
      <c r="D38" s="149" t="n"/>
      <c r="E38" s="149" t="n"/>
      <c r="F38" s="150" t="n"/>
      <c r="G38" s="144" t="n"/>
      <c r="H38" s="144" t="n"/>
      <c r="I38" s="144" t="n"/>
      <c r="J38" s="145" t="n"/>
      <c r="K38" s="145" t="n"/>
      <c r="L38" s="145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5" t="n"/>
      <c r="V38" s="145" t="n"/>
      <c r="W38" s="145" t="n"/>
      <c r="X38" s="145" t="n"/>
      <c r="Y38" s="145" t="n"/>
      <c r="Z38" s="145" t="n"/>
      <c r="AA38" s="145" t="n"/>
      <c r="AB38" s="145" t="n"/>
      <c r="AC38" s="145" t="n"/>
      <c r="AD38" s="145" t="n"/>
      <c r="AE38" s="145" t="n"/>
      <c r="AF38" s="145" t="n"/>
      <c r="AG38" s="145" t="n"/>
      <c r="AH38" s="145" t="n"/>
      <c r="AI38" s="145" t="n"/>
      <c r="AJ38" s="145" t="n"/>
      <c r="AK38" s="145" t="n"/>
      <c r="AL38" s="158">
        <f>SUM(G38:AK38)</f>
        <v/>
      </c>
      <c r="AM38" s="6" t="inlineStr">
        <is>
          <t>(B)</t>
        </is>
      </c>
      <c r="AN38" s="24" t="inlineStr">
        <is>
          <t>Số lượng đã khai tháng này 今月税関に申告された数量</t>
        </is>
      </c>
      <c r="AO38" s="26" t="n"/>
    </row>
    <row r="39" ht="56.25" customHeight="1" s="127" thickBot="1">
      <c r="A39" s="159" t="n"/>
      <c r="B39" s="109" t="inlineStr">
        <is>
          <t>NG数量（ドンスン　社しゅり済）
số lượng NG (DO SUNG đã sửa )</t>
        </is>
      </c>
      <c r="C39" s="160" t="n"/>
      <c r="D39" s="160" t="n"/>
      <c r="E39" s="160" t="n"/>
      <c r="F39" s="161" t="n"/>
      <c r="G39" s="162" t="n"/>
      <c r="H39" s="162" t="n"/>
      <c r="I39" s="163" t="n"/>
      <c r="J39" s="164" t="n"/>
      <c r="K39" s="165" t="n"/>
      <c r="L39" s="164" t="n"/>
      <c r="M39" s="164" t="n"/>
      <c r="N39" s="164" t="n"/>
      <c r="O39" s="164" t="n"/>
      <c r="P39" s="164" t="n"/>
      <c r="Q39" s="164" t="n"/>
      <c r="R39" s="165" t="n"/>
      <c r="S39" s="164" t="n"/>
      <c r="T39" s="164" t="n"/>
      <c r="U39" s="164" t="n"/>
      <c r="V39" s="164" t="n"/>
      <c r="W39" s="164" t="n"/>
      <c r="X39" s="164" t="n"/>
      <c r="Y39" s="165" t="n"/>
      <c r="Z39" s="164" t="n"/>
      <c r="AA39" s="164" t="n"/>
      <c r="AB39" s="164" t="n"/>
      <c r="AC39" s="164" t="n"/>
      <c r="AD39" s="164" t="n"/>
      <c r="AE39" s="165" t="n"/>
      <c r="AF39" s="165" t="n"/>
      <c r="AG39" s="164" t="n"/>
      <c r="AH39" s="164" t="n"/>
      <c r="AI39" s="164" t="n"/>
      <c r="AJ39" s="165" t="n"/>
      <c r="AK39" s="165" t="n"/>
      <c r="AL39" s="166">
        <f>SUM(G39:AK39)</f>
        <v/>
      </c>
      <c r="AM39" s="6" t="inlineStr">
        <is>
          <t>(C)</t>
        </is>
      </c>
      <c r="AN39" s="24" t="inlineStr">
        <is>
          <t>Số lượng còn lại chưa khai 残りの数量はまだ税関に申告されていません</t>
        </is>
      </c>
      <c r="AO39" s="148">
        <f>AO37+AO36-AO38</f>
        <v/>
      </c>
    </row>
  </sheetData>
  <mergeCells count="46">
    <mergeCell ref="AG4:AK4"/>
    <mergeCell ref="B15:C16"/>
    <mergeCell ref="B6:C7"/>
    <mergeCell ref="B24:C25"/>
    <mergeCell ref="D7:F7"/>
    <mergeCell ref="B18:F18"/>
    <mergeCell ref="D16:F16"/>
    <mergeCell ref="B27:F27"/>
    <mergeCell ref="B21:F21"/>
    <mergeCell ref="B12:F12"/>
    <mergeCell ref="B39:F39"/>
    <mergeCell ref="B33:C34"/>
    <mergeCell ref="A33:A39"/>
    <mergeCell ref="B11:F11"/>
    <mergeCell ref="B23:C23"/>
    <mergeCell ref="B14:C14"/>
    <mergeCell ref="B8:F8"/>
    <mergeCell ref="D25:F25"/>
    <mergeCell ref="D15:F15"/>
    <mergeCell ref="D33:F33"/>
    <mergeCell ref="A15:A21"/>
    <mergeCell ref="AL24:AL25"/>
    <mergeCell ref="D24:F24"/>
    <mergeCell ref="B17:F17"/>
    <mergeCell ref="B29:F29"/>
    <mergeCell ref="B38:F38"/>
    <mergeCell ref="B10:F10"/>
    <mergeCell ref="B28:F28"/>
    <mergeCell ref="B19:F19"/>
    <mergeCell ref="B37:F37"/>
    <mergeCell ref="A24:A30"/>
    <mergeCell ref="AL33:AL34"/>
    <mergeCell ref="B1:AM3"/>
    <mergeCell ref="B9:F9"/>
    <mergeCell ref="D34:F34"/>
    <mergeCell ref="B30:F30"/>
    <mergeCell ref="B20:F20"/>
    <mergeCell ref="B5:C5"/>
    <mergeCell ref="B32:C32"/>
    <mergeCell ref="B36:F36"/>
    <mergeCell ref="A6:A12"/>
    <mergeCell ref="AL15:AL16"/>
    <mergeCell ref="AL6:AL7"/>
    <mergeCell ref="D6:F6"/>
    <mergeCell ref="B26:F26"/>
    <mergeCell ref="B35:F35"/>
  </mergeCells>
  <conditionalFormatting sqref="G6:AK7">
    <cfRule type="expression" priority="15" dxfId="1" stopIfTrue="1">
      <formula>WEEKDAY(G6)=7</formula>
    </cfRule>
    <cfRule type="expression" priority="16" dxfId="0" stopIfTrue="1">
      <formula>WEEKDAY(G6)=1</formula>
    </cfRule>
  </conditionalFormatting>
  <conditionalFormatting sqref="G15:AK16">
    <cfRule type="expression" priority="11" dxfId="1" stopIfTrue="1">
      <formula>WEEKDAY(G15)=7</formula>
    </cfRule>
    <cfRule type="expression" priority="12" dxfId="0" stopIfTrue="1">
      <formula>WEEKDAY(G15)=1</formula>
    </cfRule>
  </conditionalFormatting>
  <conditionalFormatting sqref="G24:AK25">
    <cfRule type="expression" priority="7" dxfId="1" stopIfTrue="1">
      <formula>WEEKDAY(G24)=7</formula>
    </cfRule>
    <cfRule type="expression" priority="8" dxfId="0" stopIfTrue="1">
      <formula>WEEKDAY(G24)=1</formula>
    </cfRule>
  </conditionalFormatting>
  <conditionalFormatting sqref="G33:AK34">
    <cfRule type="expression" priority="3" dxfId="1" stopIfTrue="1">
      <formula>WEEKDAY(G33)=7</formula>
    </cfRule>
    <cfRule type="expression" priority="4" dxfId="0" stopIfTrue="1">
      <formula>WEEKDAY(G33)=1</formula>
    </cfRule>
  </conditionalFormatting>
  <conditionalFormatting sqref="AL6">
    <cfRule type="expression" priority="13" dxfId="1" stopIfTrue="1">
      <formula>WEEKDAY(AL6)=7</formula>
    </cfRule>
    <cfRule type="expression" priority="14" dxfId="0" stopIfTrue="1">
      <formula>WEEKDAY(AL6)=1</formula>
    </cfRule>
  </conditionalFormatting>
  <conditionalFormatting sqref="AL15">
    <cfRule type="expression" priority="9" dxfId="1" stopIfTrue="1">
      <formula>WEEKDAY(AL15)=7</formula>
    </cfRule>
    <cfRule type="expression" priority="10" dxfId="0" stopIfTrue="1">
      <formula>WEEKDAY(AL15)=1</formula>
    </cfRule>
  </conditionalFormatting>
  <conditionalFormatting sqref="AL24">
    <cfRule type="expression" priority="5" dxfId="1" stopIfTrue="1">
      <formula>WEEKDAY(AL24)=7</formula>
    </cfRule>
    <cfRule type="expression" priority="6" dxfId="0" stopIfTrue="1">
      <formula>WEEKDAY(AL24)=1</formula>
    </cfRule>
  </conditionalFormatting>
  <conditionalFormatting sqref="AL33">
    <cfRule type="expression" priority="1" dxfId="1" stopIfTrue="1">
      <formula>WEEKDAY(AL33)=7</formula>
    </cfRule>
    <cfRule type="expression" priority="2" dxfId="0" stopIfTrue="1">
      <formula>WEEKDAY(AL33)=1</formula>
    </cfRule>
  </conditionalFormatting>
  <printOptions horizontalCentered="1"/>
  <pageMargins left="0.17" right="0.17" top="0.17" bottom="0.17" header="0.17" footer="0.17"/>
  <pageSetup orientation="landscape" paperSize="9" scale="3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O40"/>
  <sheetViews>
    <sheetView showGridLines="0" view="pageBreakPreview" zoomScale="60" zoomScaleNormal="100" workbookViewId="0">
      <pane xSplit="6" ySplit="3" topLeftCell="G29" activePane="bottomRight" state="frozen"/>
      <selection pane="topRight" activeCell="G1" sqref="G1"/>
      <selection pane="bottomLeft" activeCell="A4" sqref="A4"/>
      <selection pane="bottomRight" activeCell="D34" sqref="D34:F34"/>
    </sheetView>
  </sheetViews>
  <sheetFormatPr baseColWidth="8" defaultColWidth="9" defaultRowHeight="21"/>
  <cols>
    <col width="14.140625" customWidth="1" style="1" min="1" max="1"/>
    <col width="3.7109375" customWidth="1" style="1" min="2" max="2"/>
    <col width="7.5703125" customWidth="1" style="1" min="3" max="3"/>
    <col width="2.5703125" customWidth="1" style="1" min="4" max="4"/>
    <col width="9" customWidth="1" style="1" min="5" max="5"/>
    <col width="21.28515625" customWidth="1" style="1" min="6" max="6"/>
    <col width="10" customWidth="1" style="1" min="7" max="37"/>
    <col width="16" bestFit="1" customWidth="1" style="1" min="38" max="38"/>
    <col width="6" customWidth="1" style="1" min="39" max="39"/>
    <col width="25.140625" customWidth="1" style="2" min="40" max="40"/>
    <col width="16.85546875" customWidth="1" style="20" min="41" max="41"/>
    <col width="3.7109375" customWidth="1" style="127" min="255" max="257"/>
    <col width="2.5703125" customWidth="1" style="127" min="258" max="261"/>
    <col width="3.7109375" customWidth="1" style="127" min="262" max="264"/>
    <col width="4.42578125" customWidth="1" style="127" min="265" max="295"/>
    <col width="9" customWidth="1" style="127" min="296" max="296"/>
    <col width="3.7109375" customWidth="1" style="127" min="511" max="513"/>
    <col width="2.5703125" customWidth="1" style="127" min="514" max="517"/>
    <col width="3.7109375" customWidth="1" style="127" min="518" max="520"/>
    <col width="4.42578125" customWidth="1" style="127" min="521" max="551"/>
    <col width="9" customWidth="1" style="127" min="552" max="552"/>
    <col width="3.7109375" customWidth="1" style="127" min="767" max="769"/>
    <col width="2.5703125" customWidth="1" style="127" min="770" max="773"/>
    <col width="3.7109375" customWidth="1" style="127" min="774" max="776"/>
    <col width="4.42578125" customWidth="1" style="127" min="777" max="807"/>
    <col width="9" customWidth="1" style="127" min="808" max="808"/>
    <col width="3.7109375" customWidth="1" style="127" min="1023" max="1025"/>
    <col width="2.5703125" customWidth="1" style="127" min="1026" max="1029"/>
    <col width="3.7109375" customWidth="1" style="127" min="1030" max="1032"/>
    <col width="4.42578125" customWidth="1" style="127" min="1033" max="1063"/>
    <col width="9" customWidth="1" style="127" min="1064" max="1064"/>
    <col width="3.7109375" customWidth="1" style="127" min="1279" max="1281"/>
    <col width="2.5703125" customWidth="1" style="127" min="1282" max="1285"/>
    <col width="3.7109375" customWidth="1" style="127" min="1286" max="1288"/>
    <col width="4.42578125" customWidth="1" style="127" min="1289" max="1319"/>
    <col width="9" customWidth="1" style="127" min="1320" max="1320"/>
    <col width="3.7109375" customWidth="1" style="127" min="1535" max="1537"/>
    <col width="2.5703125" customWidth="1" style="127" min="1538" max="1541"/>
    <col width="3.7109375" customWidth="1" style="127" min="1542" max="1544"/>
    <col width="4.42578125" customWidth="1" style="127" min="1545" max="1575"/>
    <col width="9" customWidth="1" style="127" min="1576" max="1576"/>
    <col width="3.7109375" customWidth="1" style="127" min="1791" max="1793"/>
    <col width="2.5703125" customWidth="1" style="127" min="1794" max="1797"/>
    <col width="3.7109375" customWidth="1" style="127" min="1798" max="1800"/>
    <col width="4.42578125" customWidth="1" style="127" min="1801" max="1831"/>
    <col width="9" customWidth="1" style="127" min="1832" max="1832"/>
    <col width="3.7109375" customWidth="1" style="127" min="2047" max="2049"/>
    <col width="2.5703125" customWidth="1" style="127" min="2050" max="2053"/>
    <col width="3.7109375" customWidth="1" style="127" min="2054" max="2056"/>
    <col width="4.42578125" customWidth="1" style="127" min="2057" max="2087"/>
    <col width="9" customWidth="1" style="127" min="2088" max="2088"/>
    <col width="3.7109375" customWidth="1" style="127" min="2303" max="2305"/>
    <col width="2.5703125" customWidth="1" style="127" min="2306" max="2309"/>
    <col width="3.7109375" customWidth="1" style="127" min="2310" max="2312"/>
    <col width="4.42578125" customWidth="1" style="127" min="2313" max="2343"/>
    <col width="9" customWidth="1" style="127" min="2344" max="2344"/>
    <col width="3.7109375" customWidth="1" style="127" min="2559" max="2561"/>
    <col width="2.5703125" customWidth="1" style="127" min="2562" max="2565"/>
    <col width="3.7109375" customWidth="1" style="127" min="2566" max="2568"/>
    <col width="4.42578125" customWidth="1" style="127" min="2569" max="2599"/>
    <col width="9" customWidth="1" style="127" min="2600" max="2600"/>
    <col width="3.7109375" customWidth="1" style="127" min="2815" max="2817"/>
    <col width="2.5703125" customWidth="1" style="127" min="2818" max="2821"/>
    <col width="3.7109375" customWidth="1" style="127" min="2822" max="2824"/>
    <col width="4.42578125" customWidth="1" style="127" min="2825" max="2855"/>
    <col width="9" customWidth="1" style="127" min="2856" max="2856"/>
    <col width="3.7109375" customWidth="1" style="127" min="3071" max="3073"/>
    <col width="2.5703125" customWidth="1" style="127" min="3074" max="3077"/>
    <col width="3.7109375" customWidth="1" style="127" min="3078" max="3080"/>
    <col width="4.42578125" customWidth="1" style="127" min="3081" max="3111"/>
    <col width="9" customWidth="1" style="127" min="3112" max="3112"/>
    <col width="3.7109375" customWidth="1" style="127" min="3327" max="3329"/>
    <col width="2.5703125" customWidth="1" style="127" min="3330" max="3333"/>
    <col width="3.7109375" customWidth="1" style="127" min="3334" max="3336"/>
    <col width="4.42578125" customWidth="1" style="127" min="3337" max="3367"/>
    <col width="9" customWidth="1" style="127" min="3368" max="3368"/>
    <col width="3.7109375" customWidth="1" style="127" min="3583" max="3585"/>
    <col width="2.5703125" customWidth="1" style="127" min="3586" max="3589"/>
    <col width="3.7109375" customWidth="1" style="127" min="3590" max="3592"/>
    <col width="4.42578125" customWidth="1" style="127" min="3593" max="3623"/>
    <col width="9" customWidth="1" style="127" min="3624" max="3624"/>
    <col width="3.7109375" customWidth="1" style="127" min="3839" max="3841"/>
    <col width="2.5703125" customWidth="1" style="127" min="3842" max="3845"/>
    <col width="3.7109375" customWidth="1" style="127" min="3846" max="3848"/>
    <col width="4.42578125" customWidth="1" style="127" min="3849" max="3879"/>
    <col width="9" customWidth="1" style="127" min="3880" max="3880"/>
    <col width="3.7109375" customWidth="1" style="127" min="4095" max="4097"/>
    <col width="2.5703125" customWidth="1" style="127" min="4098" max="4101"/>
    <col width="3.7109375" customWidth="1" style="127" min="4102" max="4104"/>
    <col width="4.42578125" customWidth="1" style="127" min="4105" max="4135"/>
    <col width="9" customWidth="1" style="127" min="4136" max="4136"/>
    <col width="3.7109375" customWidth="1" style="127" min="4351" max="4353"/>
    <col width="2.5703125" customWidth="1" style="127" min="4354" max="4357"/>
    <col width="3.7109375" customWidth="1" style="127" min="4358" max="4360"/>
    <col width="4.42578125" customWidth="1" style="127" min="4361" max="4391"/>
    <col width="9" customWidth="1" style="127" min="4392" max="4392"/>
    <col width="3.7109375" customWidth="1" style="127" min="4607" max="4609"/>
    <col width="2.5703125" customWidth="1" style="127" min="4610" max="4613"/>
    <col width="3.7109375" customWidth="1" style="127" min="4614" max="4616"/>
    <col width="4.42578125" customWidth="1" style="127" min="4617" max="4647"/>
    <col width="9" customWidth="1" style="127" min="4648" max="4648"/>
    <col width="3.7109375" customWidth="1" style="127" min="4863" max="4865"/>
    <col width="2.5703125" customWidth="1" style="127" min="4866" max="4869"/>
    <col width="3.7109375" customWidth="1" style="127" min="4870" max="4872"/>
    <col width="4.42578125" customWidth="1" style="127" min="4873" max="4903"/>
    <col width="9" customWidth="1" style="127" min="4904" max="4904"/>
    <col width="3.7109375" customWidth="1" style="127" min="5119" max="5121"/>
    <col width="2.5703125" customWidth="1" style="127" min="5122" max="5125"/>
    <col width="3.7109375" customWidth="1" style="127" min="5126" max="5128"/>
    <col width="4.42578125" customWidth="1" style="127" min="5129" max="5159"/>
    <col width="9" customWidth="1" style="127" min="5160" max="5160"/>
    <col width="3.7109375" customWidth="1" style="127" min="5375" max="5377"/>
    <col width="2.5703125" customWidth="1" style="127" min="5378" max="5381"/>
    <col width="3.7109375" customWidth="1" style="127" min="5382" max="5384"/>
    <col width="4.42578125" customWidth="1" style="127" min="5385" max="5415"/>
    <col width="9" customWidth="1" style="127" min="5416" max="5416"/>
    <col width="3.7109375" customWidth="1" style="127" min="5631" max="5633"/>
    <col width="2.5703125" customWidth="1" style="127" min="5634" max="5637"/>
    <col width="3.7109375" customWidth="1" style="127" min="5638" max="5640"/>
    <col width="4.42578125" customWidth="1" style="127" min="5641" max="5671"/>
    <col width="9" customWidth="1" style="127" min="5672" max="5672"/>
    <col width="3.7109375" customWidth="1" style="127" min="5887" max="5889"/>
    <col width="2.5703125" customWidth="1" style="127" min="5890" max="5893"/>
    <col width="3.7109375" customWidth="1" style="127" min="5894" max="5896"/>
    <col width="4.42578125" customWidth="1" style="127" min="5897" max="5927"/>
    <col width="9" customWidth="1" style="127" min="5928" max="5928"/>
    <col width="3.7109375" customWidth="1" style="127" min="6143" max="6145"/>
    <col width="2.5703125" customWidth="1" style="127" min="6146" max="6149"/>
    <col width="3.7109375" customWidth="1" style="127" min="6150" max="6152"/>
    <col width="4.42578125" customWidth="1" style="127" min="6153" max="6183"/>
    <col width="9" customWidth="1" style="127" min="6184" max="6184"/>
    <col width="3.7109375" customWidth="1" style="127" min="6399" max="6401"/>
    <col width="2.5703125" customWidth="1" style="127" min="6402" max="6405"/>
    <col width="3.7109375" customWidth="1" style="127" min="6406" max="6408"/>
    <col width="4.42578125" customWidth="1" style="127" min="6409" max="6439"/>
    <col width="9" customWidth="1" style="127" min="6440" max="6440"/>
    <col width="3.7109375" customWidth="1" style="127" min="6655" max="6657"/>
    <col width="2.5703125" customWidth="1" style="127" min="6658" max="6661"/>
    <col width="3.7109375" customWidth="1" style="127" min="6662" max="6664"/>
    <col width="4.42578125" customWidth="1" style="127" min="6665" max="6695"/>
    <col width="9" customWidth="1" style="127" min="6696" max="6696"/>
    <col width="3.7109375" customWidth="1" style="127" min="6911" max="6913"/>
    <col width="2.5703125" customWidth="1" style="127" min="6914" max="6917"/>
    <col width="3.7109375" customWidth="1" style="127" min="6918" max="6920"/>
    <col width="4.42578125" customWidth="1" style="127" min="6921" max="6951"/>
    <col width="9" customWidth="1" style="127" min="6952" max="6952"/>
    <col width="3.7109375" customWidth="1" style="127" min="7167" max="7169"/>
    <col width="2.5703125" customWidth="1" style="127" min="7170" max="7173"/>
    <col width="3.7109375" customWidth="1" style="127" min="7174" max="7176"/>
    <col width="4.42578125" customWidth="1" style="127" min="7177" max="7207"/>
    <col width="9" customWidth="1" style="127" min="7208" max="7208"/>
    <col width="3.7109375" customWidth="1" style="127" min="7423" max="7425"/>
    <col width="2.5703125" customWidth="1" style="127" min="7426" max="7429"/>
    <col width="3.7109375" customWidth="1" style="127" min="7430" max="7432"/>
    <col width="4.42578125" customWidth="1" style="127" min="7433" max="7463"/>
    <col width="9" customWidth="1" style="127" min="7464" max="7464"/>
    <col width="3.7109375" customWidth="1" style="127" min="7679" max="7681"/>
    <col width="2.5703125" customWidth="1" style="127" min="7682" max="7685"/>
    <col width="3.7109375" customWidth="1" style="127" min="7686" max="7688"/>
    <col width="4.42578125" customWidth="1" style="127" min="7689" max="7719"/>
    <col width="9" customWidth="1" style="127" min="7720" max="7720"/>
    <col width="3.7109375" customWidth="1" style="127" min="7935" max="7937"/>
    <col width="2.5703125" customWidth="1" style="127" min="7938" max="7941"/>
    <col width="3.7109375" customWidth="1" style="127" min="7942" max="7944"/>
    <col width="4.42578125" customWidth="1" style="127" min="7945" max="7975"/>
    <col width="9" customWidth="1" style="127" min="7976" max="7976"/>
    <col width="3.7109375" customWidth="1" style="127" min="8191" max="8193"/>
    <col width="2.5703125" customWidth="1" style="127" min="8194" max="8197"/>
    <col width="3.7109375" customWidth="1" style="127" min="8198" max="8200"/>
    <col width="4.42578125" customWidth="1" style="127" min="8201" max="8231"/>
    <col width="9" customWidth="1" style="127" min="8232" max="8232"/>
    <col width="3.7109375" customWidth="1" style="127" min="8447" max="8449"/>
    <col width="2.5703125" customWidth="1" style="127" min="8450" max="8453"/>
    <col width="3.7109375" customWidth="1" style="127" min="8454" max="8456"/>
    <col width="4.42578125" customWidth="1" style="127" min="8457" max="8487"/>
    <col width="9" customWidth="1" style="127" min="8488" max="8488"/>
    <col width="3.7109375" customWidth="1" style="127" min="8703" max="8705"/>
    <col width="2.5703125" customWidth="1" style="127" min="8706" max="8709"/>
    <col width="3.7109375" customWidth="1" style="127" min="8710" max="8712"/>
    <col width="4.42578125" customWidth="1" style="127" min="8713" max="8743"/>
    <col width="9" customWidth="1" style="127" min="8744" max="8744"/>
    <col width="3.7109375" customWidth="1" style="127" min="8959" max="8961"/>
    <col width="2.5703125" customWidth="1" style="127" min="8962" max="8965"/>
    <col width="3.7109375" customWidth="1" style="127" min="8966" max="8968"/>
    <col width="4.42578125" customWidth="1" style="127" min="8969" max="8999"/>
    <col width="9" customWidth="1" style="127" min="9000" max="9000"/>
    <col width="3.7109375" customWidth="1" style="127" min="9215" max="9217"/>
    <col width="2.5703125" customWidth="1" style="127" min="9218" max="9221"/>
    <col width="3.7109375" customWidth="1" style="127" min="9222" max="9224"/>
    <col width="4.42578125" customWidth="1" style="127" min="9225" max="9255"/>
    <col width="9" customWidth="1" style="127" min="9256" max="9256"/>
    <col width="3.7109375" customWidth="1" style="127" min="9471" max="9473"/>
    <col width="2.5703125" customWidth="1" style="127" min="9474" max="9477"/>
    <col width="3.7109375" customWidth="1" style="127" min="9478" max="9480"/>
    <col width="4.42578125" customWidth="1" style="127" min="9481" max="9511"/>
    <col width="9" customWidth="1" style="127" min="9512" max="9512"/>
    <col width="3.7109375" customWidth="1" style="127" min="9727" max="9729"/>
    <col width="2.5703125" customWidth="1" style="127" min="9730" max="9733"/>
    <col width="3.7109375" customWidth="1" style="127" min="9734" max="9736"/>
    <col width="4.42578125" customWidth="1" style="127" min="9737" max="9767"/>
    <col width="9" customWidth="1" style="127" min="9768" max="9768"/>
    <col width="3.7109375" customWidth="1" style="127" min="9983" max="9985"/>
    <col width="2.5703125" customWidth="1" style="127" min="9986" max="9989"/>
    <col width="3.7109375" customWidth="1" style="127" min="9990" max="9992"/>
    <col width="4.42578125" customWidth="1" style="127" min="9993" max="10023"/>
    <col width="9" customWidth="1" style="127" min="10024" max="10024"/>
    <col width="3.7109375" customWidth="1" style="127" min="10239" max="10241"/>
    <col width="2.5703125" customWidth="1" style="127" min="10242" max="10245"/>
    <col width="3.7109375" customWidth="1" style="127" min="10246" max="10248"/>
    <col width="4.42578125" customWidth="1" style="127" min="10249" max="10279"/>
    <col width="9" customWidth="1" style="127" min="10280" max="10280"/>
    <col width="3.7109375" customWidth="1" style="127" min="10495" max="10497"/>
    <col width="2.5703125" customWidth="1" style="127" min="10498" max="10501"/>
    <col width="3.7109375" customWidth="1" style="127" min="10502" max="10504"/>
    <col width="4.42578125" customWidth="1" style="127" min="10505" max="10535"/>
    <col width="9" customWidth="1" style="127" min="10536" max="10536"/>
    <col width="3.7109375" customWidth="1" style="127" min="10751" max="10753"/>
    <col width="2.5703125" customWidth="1" style="127" min="10754" max="10757"/>
    <col width="3.7109375" customWidth="1" style="127" min="10758" max="10760"/>
    <col width="4.42578125" customWidth="1" style="127" min="10761" max="10791"/>
    <col width="9" customWidth="1" style="127" min="10792" max="10792"/>
    <col width="3.7109375" customWidth="1" style="127" min="11007" max="11009"/>
    <col width="2.5703125" customWidth="1" style="127" min="11010" max="11013"/>
    <col width="3.7109375" customWidth="1" style="127" min="11014" max="11016"/>
    <col width="4.42578125" customWidth="1" style="127" min="11017" max="11047"/>
    <col width="9" customWidth="1" style="127" min="11048" max="11048"/>
    <col width="3.7109375" customWidth="1" style="127" min="11263" max="11265"/>
    <col width="2.5703125" customWidth="1" style="127" min="11266" max="11269"/>
    <col width="3.7109375" customWidth="1" style="127" min="11270" max="11272"/>
    <col width="4.42578125" customWidth="1" style="127" min="11273" max="11303"/>
    <col width="9" customWidth="1" style="127" min="11304" max="11304"/>
    <col width="3.7109375" customWidth="1" style="127" min="11519" max="11521"/>
    <col width="2.5703125" customWidth="1" style="127" min="11522" max="11525"/>
    <col width="3.7109375" customWidth="1" style="127" min="11526" max="11528"/>
    <col width="4.42578125" customWidth="1" style="127" min="11529" max="11559"/>
    <col width="9" customWidth="1" style="127" min="11560" max="11560"/>
    <col width="3.7109375" customWidth="1" style="127" min="11775" max="11777"/>
    <col width="2.5703125" customWidth="1" style="127" min="11778" max="11781"/>
    <col width="3.7109375" customWidth="1" style="127" min="11782" max="11784"/>
    <col width="4.42578125" customWidth="1" style="127" min="11785" max="11815"/>
    <col width="9" customWidth="1" style="127" min="11816" max="11816"/>
    <col width="3.7109375" customWidth="1" style="127" min="12031" max="12033"/>
    <col width="2.5703125" customWidth="1" style="127" min="12034" max="12037"/>
    <col width="3.7109375" customWidth="1" style="127" min="12038" max="12040"/>
    <col width="4.42578125" customWidth="1" style="127" min="12041" max="12071"/>
    <col width="9" customWidth="1" style="127" min="12072" max="12072"/>
    <col width="3.7109375" customWidth="1" style="127" min="12287" max="12289"/>
    <col width="2.5703125" customWidth="1" style="127" min="12290" max="12293"/>
    <col width="3.7109375" customWidth="1" style="127" min="12294" max="12296"/>
    <col width="4.42578125" customWidth="1" style="127" min="12297" max="12327"/>
    <col width="9" customWidth="1" style="127" min="12328" max="12328"/>
    <col width="3.7109375" customWidth="1" style="127" min="12543" max="12545"/>
    <col width="2.5703125" customWidth="1" style="127" min="12546" max="12549"/>
    <col width="3.7109375" customWidth="1" style="127" min="12550" max="12552"/>
    <col width="4.42578125" customWidth="1" style="127" min="12553" max="12583"/>
    <col width="9" customWidth="1" style="127" min="12584" max="12584"/>
    <col width="3.7109375" customWidth="1" style="127" min="12799" max="12801"/>
    <col width="2.5703125" customWidth="1" style="127" min="12802" max="12805"/>
    <col width="3.7109375" customWidth="1" style="127" min="12806" max="12808"/>
    <col width="4.42578125" customWidth="1" style="127" min="12809" max="12839"/>
    <col width="9" customWidth="1" style="127" min="12840" max="12840"/>
    <col width="3.7109375" customWidth="1" style="127" min="13055" max="13057"/>
    <col width="2.5703125" customWidth="1" style="127" min="13058" max="13061"/>
    <col width="3.7109375" customWidth="1" style="127" min="13062" max="13064"/>
    <col width="4.42578125" customWidth="1" style="127" min="13065" max="13095"/>
    <col width="9" customWidth="1" style="127" min="13096" max="13096"/>
    <col width="3.7109375" customWidth="1" style="127" min="13311" max="13313"/>
    <col width="2.5703125" customWidth="1" style="127" min="13314" max="13317"/>
    <col width="3.7109375" customWidth="1" style="127" min="13318" max="13320"/>
    <col width="4.42578125" customWidth="1" style="127" min="13321" max="13351"/>
    <col width="9" customWidth="1" style="127" min="13352" max="13352"/>
    <col width="3.7109375" customWidth="1" style="127" min="13567" max="13569"/>
    <col width="2.5703125" customWidth="1" style="127" min="13570" max="13573"/>
    <col width="3.7109375" customWidth="1" style="127" min="13574" max="13576"/>
    <col width="4.42578125" customWidth="1" style="127" min="13577" max="13607"/>
    <col width="9" customWidth="1" style="127" min="13608" max="13608"/>
    <col width="3.7109375" customWidth="1" style="127" min="13823" max="13825"/>
    <col width="2.5703125" customWidth="1" style="127" min="13826" max="13829"/>
    <col width="3.7109375" customWidth="1" style="127" min="13830" max="13832"/>
    <col width="4.42578125" customWidth="1" style="127" min="13833" max="13863"/>
    <col width="9" customWidth="1" style="127" min="13864" max="13864"/>
    <col width="3.7109375" customWidth="1" style="127" min="14079" max="14081"/>
    <col width="2.5703125" customWidth="1" style="127" min="14082" max="14085"/>
    <col width="3.7109375" customWidth="1" style="127" min="14086" max="14088"/>
    <col width="4.42578125" customWidth="1" style="127" min="14089" max="14119"/>
    <col width="9" customWidth="1" style="127" min="14120" max="14120"/>
    <col width="3.7109375" customWidth="1" style="127" min="14335" max="14337"/>
    <col width="2.5703125" customWidth="1" style="127" min="14338" max="14341"/>
    <col width="3.7109375" customWidth="1" style="127" min="14342" max="14344"/>
    <col width="4.42578125" customWidth="1" style="127" min="14345" max="14375"/>
    <col width="9" customWidth="1" style="127" min="14376" max="14376"/>
    <col width="3.7109375" customWidth="1" style="127" min="14591" max="14593"/>
    <col width="2.5703125" customWidth="1" style="127" min="14594" max="14597"/>
    <col width="3.7109375" customWidth="1" style="127" min="14598" max="14600"/>
    <col width="4.42578125" customWidth="1" style="127" min="14601" max="14631"/>
    <col width="9" customWidth="1" style="127" min="14632" max="14632"/>
    <col width="3.7109375" customWidth="1" style="127" min="14847" max="14849"/>
    <col width="2.5703125" customWidth="1" style="127" min="14850" max="14853"/>
    <col width="3.7109375" customWidth="1" style="127" min="14854" max="14856"/>
    <col width="4.42578125" customWidth="1" style="127" min="14857" max="14887"/>
    <col width="9" customWidth="1" style="127" min="14888" max="14888"/>
    <col width="3.7109375" customWidth="1" style="127" min="15103" max="15105"/>
    <col width="2.5703125" customWidth="1" style="127" min="15106" max="15109"/>
    <col width="3.7109375" customWidth="1" style="127" min="15110" max="15112"/>
    <col width="4.42578125" customWidth="1" style="127" min="15113" max="15143"/>
    <col width="9" customWidth="1" style="127" min="15144" max="15144"/>
    <col width="3.7109375" customWidth="1" style="127" min="15359" max="15361"/>
    <col width="2.5703125" customWidth="1" style="127" min="15362" max="15365"/>
    <col width="3.7109375" customWidth="1" style="127" min="15366" max="15368"/>
    <col width="4.42578125" customWidth="1" style="127" min="15369" max="15399"/>
    <col width="9" customWidth="1" style="127" min="15400" max="15400"/>
    <col width="3.7109375" customWidth="1" style="127" min="15615" max="15617"/>
    <col width="2.5703125" customWidth="1" style="127" min="15618" max="15621"/>
    <col width="3.7109375" customWidth="1" style="127" min="15622" max="15624"/>
    <col width="4.42578125" customWidth="1" style="127" min="15625" max="15655"/>
    <col width="9" customWidth="1" style="127" min="15656" max="15656"/>
    <col width="3.7109375" customWidth="1" style="127" min="15871" max="15873"/>
    <col width="2.5703125" customWidth="1" style="127" min="15874" max="15877"/>
    <col width="3.7109375" customWidth="1" style="127" min="15878" max="15880"/>
    <col width="4.42578125" customWidth="1" style="127" min="15881" max="15911"/>
    <col width="9" customWidth="1" style="127" min="15912" max="15912"/>
    <col width="3.7109375" customWidth="1" style="127" min="16127" max="16129"/>
    <col width="2.5703125" customWidth="1" style="127" min="16130" max="16133"/>
    <col width="3.7109375" customWidth="1" style="127" min="16134" max="16136"/>
    <col width="4.42578125" customWidth="1" style="127" min="16137" max="16167"/>
    <col width="9" customWidth="1" style="127" min="16168" max="16168"/>
  </cols>
  <sheetData>
    <row r="1" ht="30.75" customHeight="1" s="127">
      <c r="A1" s="10" t="n"/>
      <c r="B1" s="100" t="inlineStr">
        <is>
          <t>LỊCH GIAO HÀNG DO SUNG
DO SUNG会社の納品スケジュール</t>
        </is>
      </c>
    </row>
    <row r="2" ht="55.5" customHeight="1" s="127">
      <c r="A2" s="10" t="n"/>
    </row>
    <row r="3" ht="30.75" customHeight="1" s="127">
      <c r="A3" s="7" t="n"/>
    </row>
    <row r="4" ht="30.75" customHeight="1" s="127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101" t="n"/>
      <c r="AL4" s="7" t="n"/>
      <c r="AM4" s="7" t="n"/>
    </row>
    <row r="5" ht="21" customHeight="1" s="127" thickBot="1">
      <c r="B5" s="85" t="n">
        <v>2026</v>
      </c>
      <c r="D5" s="85" t="inlineStr">
        <is>
          <t>年</t>
        </is>
      </c>
      <c r="E5" s="85" t="n">
        <v>2</v>
      </c>
      <c r="F5" s="29" t="inlineStr">
        <is>
          <t>月</t>
        </is>
      </c>
      <c r="G5" s="8" t="n"/>
      <c r="H5" s="3" t="n"/>
      <c r="I5" s="3" t="n"/>
      <c r="J5" s="5" t="n"/>
      <c r="K5" s="5" t="n"/>
      <c r="L5" s="5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7" t="n"/>
    </row>
    <row r="6" ht="20.25" customFormat="1" customHeight="1" s="11">
      <c r="A6" s="173" t="inlineStr">
        <is>
          <t>mda0018 Thân khóa tay cầm (có khóa) ンドルロック本体 (キー付き)</t>
        </is>
      </c>
      <c r="B6" s="106" t="inlineStr">
        <is>
          <t>輸送</t>
        </is>
      </c>
      <c r="C6" s="129" t="n"/>
      <c r="D6" s="107" t="inlineStr">
        <is>
          <t>日</t>
        </is>
      </c>
      <c r="E6" s="130" t="n"/>
      <c r="F6" s="131" t="n"/>
      <c r="G6" s="132">
        <f>DATE(B5,E5,1)</f>
        <v/>
      </c>
      <c r="H6" s="132">
        <f>IF(G6="","",IF(DAY(G6+1)=1,"",G6+1))</f>
        <v/>
      </c>
      <c r="I6" s="132">
        <f>IF(H6="","",IF(DAY(H6+1)=1,"",H6+1))</f>
        <v/>
      </c>
      <c r="J6" s="132">
        <f>IF(I6="","",IF(DAY(I6+1)=1,"",I6+1))</f>
        <v/>
      </c>
      <c r="K6" s="132">
        <f>IF(J6="","",IF(DAY(J6+1)=1,"",J6+1))</f>
        <v/>
      </c>
      <c r="L6" s="132">
        <f>IF(K6="","",IF(DAY(K6+1)=1,"",K6+1))</f>
        <v/>
      </c>
      <c r="M6" s="132">
        <f>IF(L6="","",IF(DAY(L6+1)=1,"",L6+1))</f>
        <v/>
      </c>
      <c r="N6" s="132">
        <f>IF(M6="","",IF(DAY(M6+1)=1,"",M6+1))</f>
        <v/>
      </c>
      <c r="O6" s="132">
        <f>IF(N6="","",IF(DAY(N6+1)=1,"",N6+1))</f>
        <v/>
      </c>
      <c r="P6" s="132">
        <f>IF(O6="","",IF(DAY(O6+1)=1,"",O6+1))</f>
        <v/>
      </c>
      <c r="Q6" s="132">
        <f>IF(P6="","",IF(DAY(P6+1)=1,"",P6+1))</f>
        <v/>
      </c>
      <c r="R6" s="132">
        <f>IF(Q6="","",IF(DAY(Q6+1)=1,"",Q6+1))</f>
        <v/>
      </c>
      <c r="S6" s="132">
        <f>IF(R6="","",IF(DAY(R6+1)=1,"",R6+1))</f>
        <v/>
      </c>
      <c r="T6" s="132">
        <f>IF(S6="","",IF(DAY(S6+1)=1,"",S6+1))</f>
        <v/>
      </c>
      <c r="U6" s="132">
        <f>IF(T6="","",IF(DAY(T6+1)=1,"",T6+1))</f>
        <v/>
      </c>
      <c r="V6" s="132">
        <f>IF(U6="","",IF(DAY(U6+1)=1,"",U6+1))</f>
        <v/>
      </c>
      <c r="W6" s="132">
        <f>IF(V6="","",IF(DAY(V6+1)=1,"",V6+1))</f>
        <v/>
      </c>
      <c r="X6" s="132">
        <f>IF(W6="","",IF(DAY(W6+1)=1,"",W6+1))</f>
        <v/>
      </c>
      <c r="Y6" s="132">
        <f>IF(X6="","",IF(DAY(X6+1)=1,"",X6+1))</f>
        <v/>
      </c>
      <c r="Z6" s="132">
        <f>IF(Y6="","",IF(DAY(Y6+1)=1,"",Y6+1))</f>
        <v/>
      </c>
      <c r="AA6" s="132">
        <f>IF(Z6="","",IF(DAY(Z6+1)=1,"",Z6+1))</f>
        <v/>
      </c>
      <c r="AB6" s="132">
        <f>IF(AA6="","",IF(DAY(AA6+1)=1,"",AA6+1))</f>
        <v/>
      </c>
      <c r="AC6" s="132">
        <f>IF(AB6="","",IF(DAY(AB6+1)=1,"",AB6+1))</f>
        <v/>
      </c>
      <c r="AD6" s="132">
        <f>IF(AC6="","",IF(DAY(AC6+1)=1,"",AC6+1))</f>
        <v/>
      </c>
      <c r="AE6" s="132">
        <f>IF(AD6="","",IF(DAY(AD6+1)=1,"",AD6+1))</f>
        <v/>
      </c>
      <c r="AF6" s="132">
        <f>IF(AE6="","",IF(DAY(AE6+1)=1,"",AE6+1))</f>
        <v/>
      </c>
      <c r="AG6" s="132">
        <f>IF(AF6="","",IF(DAY(AF6+1)=1,"",AF6+1))</f>
        <v/>
      </c>
      <c r="AH6" s="132">
        <f>IF(AG6="","",IF(DAY(AG6+1)=1,"",AG6+1))</f>
        <v/>
      </c>
      <c r="AI6" s="132">
        <f>IF(AH6="","",IF(DAY(AH6+1)=1,"",AH6+1))</f>
        <v/>
      </c>
      <c r="AJ6" s="132">
        <f>IF(AI6="","",IF(DAY(AI6+1)=1,"",AI6+1))</f>
        <v/>
      </c>
      <c r="AK6" s="132">
        <f>IF(AJ6="","",IF(DAY(AJ6+1)=1,"",AJ6+1))</f>
        <v/>
      </c>
      <c r="AL6" s="133" t="inlineStr">
        <is>
          <t>Total</t>
        </is>
      </c>
      <c r="AM6" s="7" t="n"/>
      <c r="AN6" s="21" t="n"/>
      <c r="AO6" s="20" t="n"/>
    </row>
    <row r="7" ht="20.25" customFormat="1" customHeight="1" s="11">
      <c r="A7" s="134" t="n"/>
      <c r="B7" s="135" t="n"/>
      <c r="C7" s="136" t="n"/>
      <c r="D7" s="102" t="inlineStr">
        <is>
          <t>時間</t>
        </is>
      </c>
      <c r="E7" s="137" t="n"/>
      <c r="F7" s="138" t="n"/>
      <c r="G7" s="139">
        <f>+G6</f>
        <v/>
      </c>
      <c r="H7" s="139">
        <f>+H6</f>
        <v/>
      </c>
      <c r="I7" s="139">
        <f>+I6</f>
        <v/>
      </c>
      <c r="J7" s="139">
        <f>+J6</f>
        <v/>
      </c>
      <c r="K7" s="139">
        <f>+K6</f>
        <v/>
      </c>
      <c r="L7" s="139">
        <f>+L6</f>
        <v/>
      </c>
      <c r="M7" s="139">
        <f>+M6</f>
        <v/>
      </c>
      <c r="N7" s="139">
        <f>+N6</f>
        <v/>
      </c>
      <c r="O7" s="139">
        <f>+O6</f>
        <v/>
      </c>
      <c r="P7" s="139">
        <f>+P6</f>
        <v/>
      </c>
      <c r="Q7" s="139">
        <f>+Q6</f>
        <v/>
      </c>
      <c r="R7" s="139">
        <f>+R6</f>
        <v/>
      </c>
      <c r="S7" s="139">
        <f>+S6</f>
        <v/>
      </c>
      <c r="T7" s="139">
        <f>+T6</f>
        <v/>
      </c>
      <c r="U7" s="139">
        <f>+U6</f>
        <v/>
      </c>
      <c r="V7" s="139">
        <f>+V6</f>
        <v/>
      </c>
      <c r="W7" s="139">
        <f>+W6</f>
        <v/>
      </c>
      <c r="X7" s="139">
        <f>+X6</f>
        <v/>
      </c>
      <c r="Y7" s="139">
        <f>+Y6</f>
        <v/>
      </c>
      <c r="Z7" s="139">
        <f>+Z6</f>
        <v/>
      </c>
      <c r="AA7" s="139">
        <f>+AA6</f>
        <v/>
      </c>
      <c r="AB7" s="139">
        <f>+AB6</f>
        <v/>
      </c>
      <c r="AC7" s="139">
        <f>+AC6</f>
        <v/>
      </c>
      <c r="AD7" s="139">
        <f>+AD6</f>
        <v/>
      </c>
      <c r="AE7" s="139">
        <f>+AE6</f>
        <v/>
      </c>
      <c r="AF7" s="139">
        <f>+AF6</f>
        <v/>
      </c>
      <c r="AG7" s="139">
        <f>+AG6</f>
        <v/>
      </c>
      <c r="AH7" s="139">
        <f>+AH6</f>
        <v/>
      </c>
      <c r="AI7" s="139">
        <f>+AI6</f>
        <v/>
      </c>
      <c r="AJ7" s="139">
        <f>+AJ6</f>
        <v/>
      </c>
      <c r="AK7" s="139">
        <f>+AK6</f>
        <v/>
      </c>
      <c r="AL7" s="140" t="n"/>
      <c r="AN7" s="21" t="n"/>
      <c r="AO7" s="20" t="n"/>
    </row>
    <row r="8" ht="56.25" customFormat="1" customHeight="1" s="11">
      <c r="A8" s="134" t="n"/>
      <c r="B8" s="174" t="inlineStr">
        <is>
          <t>PO 注文書</t>
        </is>
      </c>
      <c r="C8" s="142" t="n"/>
      <c r="D8" s="142" t="n"/>
      <c r="E8" s="142" t="n"/>
      <c r="F8" s="143" t="n"/>
      <c r="G8" s="144" t="n"/>
      <c r="H8" s="145" t="n"/>
      <c r="I8" s="144" t="n"/>
      <c r="J8" s="145" t="n"/>
      <c r="K8" s="145" t="n"/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/>
      <c r="U8" s="145" t="n"/>
      <c r="V8" s="145" t="n"/>
      <c r="W8" s="145" t="n"/>
      <c r="X8" s="145" t="n"/>
      <c r="Y8" s="145" t="n"/>
      <c r="Z8" s="145" t="n"/>
      <c r="AA8" s="145" t="n"/>
      <c r="AB8" s="145" t="n"/>
      <c r="AC8" s="145" t="n"/>
      <c r="AD8" s="145" t="n"/>
      <c r="AE8" s="145" t="n"/>
      <c r="AF8" s="145" t="n"/>
      <c r="AG8" s="145" t="n"/>
      <c r="AH8" s="145" t="n"/>
      <c r="AI8" s="145" t="n"/>
      <c r="AJ8" s="145" t="n"/>
      <c r="AK8" s="145" t="n"/>
      <c r="AL8" s="146">
        <f>SUM(G8:AK8)</f>
        <v/>
      </c>
      <c r="AN8" s="147" t="inlineStr">
        <is>
          <t>Tồn PO
注文の 残量</t>
        </is>
      </c>
      <c r="AO8" s="148" t="n"/>
    </row>
    <row r="9" ht="56.25" customHeight="1" s="127">
      <c r="A9" s="134" t="n"/>
      <c r="B9" s="111" t="inlineStr">
        <is>
          <t xml:space="preserve">計画数量
kế hoạch </t>
        </is>
      </c>
      <c r="C9" s="149" t="n"/>
      <c r="D9" s="149" t="n"/>
      <c r="E9" s="149" t="n"/>
      <c r="F9" s="150" t="n"/>
      <c r="G9" s="144" t="n"/>
      <c r="H9" s="144" t="n"/>
      <c r="I9" s="144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  <c r="AA9" s="145" t="n"/>
      <c r="AB9" s="145" t="n"/>
      <c r="AC9" s="145" t="n"/>
      <c r="AD9" s="145" t="n"/>
      <c r="AE9" s="145" t="n"/>
      <c r="AF9" s="145" t="n"/>
      <c r="AG9" s="145" t="n"/>
      <c r="AH9" s="145" t="n"/>
      <c r="AI9" s="145" t="n"/>
      <c r="AJ9" s="145" t="n"/>
      <c r="AK9" s="145" t="n"/>
      <c r="AL9" s="151">
        <f>SUM(G9:AK9)</f>
        <v/>
      </c>
      <c r="AM9" s="0" t="n"/>
      <c r="AN9" s="24" t="inlineStr">
        <is>
          <t>Tổng nhập 総入荷数量
（A)-(B)+(C)</t>
        </is>
      </c>
      <c r="AO9" s="152">
        <f>AL10-AL11+AL12</f>
        <v/>
      </c>
    </row>
    <row r="10" ht="56.25" customHeight="1" s="127">
      <c r="A10" s="134" t="n"/>
      <c r="B10" s="111" t="inlineStr">
        <is>
          <t>実際の納品数量
số lượng thực nhập</t>
        </is>
      </c>
      <c r="C10" s="149" t="n"/>
      <c r="D10" s="149" t="n"/>
      <c r="E10" s="149" t="n"/>
      <c r="F10" s="150" t="n"/>
      <c r="G10" s="153" t="n"/>
      <c r="H10" s="153" t="n"/>
      <c r="I10" s="154" t="n"/>
      <c r="J10" s="155" t="n"/>
      <c r="K10" s="156" t="n"/>
      <c r="L10" s="156" t="n"/>
      <c r="M10" s="155" t="n"/>
      <c r="N10" s="155" t="n"/>
      <c r="O10" s="155" t="n"/>
      <c r="P10" s="155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5" t="n"/>
      <c r="AD10" s="155" t="n"/>
      <c r="AE10" s="156" t="n"/>
      <c r="AF10" s="156" t="n"/>
      <c r="AG10" s="155" t="n">
        <v>50</v>
      </c>
      <c r="AH10" s="155" t="n"/>
      <c r="AI10" s="156" t="n"/>
      <c r="AJ10" s="156" t="n"/>
      <c r="AK10" s="156" t="n"/>
      <c r="AL10" s="157">
        <f>SUM(G10:AK10)</f>
        <v/>
      </c>
      <c r="AM10" s="6" t="inlineStr">
        <is>
          <t>(A)</t>
        </is>
      </c>
      <c r="AN10" s="24" t="inlineStr">
        <is>
          <t>Số lượng chưa khai tháng trước 先月まだ税関に申告されていない数量</t>
        </is>
      </c>
      <c r="AO10" s="148" t="n"/>
    </row>
    <row r="11" ht="56.25" customHeight="1" s="127">
      <c r="A11" s="134" t="n"/>
      <c r="B11" s="111" t="inlineStr">
        <is>
          <t>NG数量（DO SUNG 社変更済）
số lượng NG (Trả hàng DO SUNG)</t>
        </is>
      </c>
      <c r="C11" s="149" t="n"/>
      <c r="D11" s="149" t="n"/>
      <c r="E11" s="149" t="n"/>
      <c r="F11" s="150" t="n"/>
      <c r="G11" s="144" t="n"/>
      <c r="H11" s="144" t="n"/>
      <c r="I11" s="144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  <c r="AC11" s="145" t="n"/>
      <c r="AD11" s="145" t="n"/>
      <c r="AE11" s="145" t="n"/>
      <c r="AF11" s="145" t="n"/>
      <c r="AG11" s="145" t="n"/>
      <c r="AH11" s="145" t="n"/>
      <c r="AI11" s="145" t="n"/>
      <c r="AJ11" s="145" t="n"/>
      <c r="AK11" s="145" t="n"/>
      <c r="AL11" s="158">
        <f>SUM(G11:AK11)</f>
        <v/>
      </c>
      <c r="AM11" s="6" t="inlineStr">
        <is>
          <t>(B)</t>
        </is>
      </c>
      <c r="AN11" s="24" t="inlineStr">
        <is>
          <t>Số lượng đã khai tháng này 今月税関に申告された数量</t>
        </is>
      </c>
      <c r="AO11" s="26" t="n"/>
    </row>
    <row r="12" ht="56.25" customHeight="1" s="127" thickBot="1">
      <c r="A12" s="159" t="n"/>
      <c r="B12" s="109" t="inlineStr">
        <is>
          <t>NG数量（ドンスン　社しゅり済）
số lượng NG (DO SUNG đã sửa )</t>
        </is>
      </c>
      <c r="C12" s="160" t="n"/>
      <c r="D12" s="160" t="n"/>
      <c r="E12" s="160" t="n"/>
      <c r="F12" s="161" t="n"/>
      <c r="G12" s="162" t="n"/>
      <c r="H12" s="162" t="n"/>
      <c r="I12" s="163" t="n"/>
      <c r="J12" s="164" t="n"/>
      <c r="K12" s="165" t="n"/>
      <c r="L12" s="164" t="n"/>
      <c r="M12" s="164" t="n"/>
      <c r="N12" s="164" t="n"/>
      <c r="O12" s="164" t="n"/>
      <c r="P12" s="164" t="n"/>
      <c r="Q12" s="164" t="n"/>
      <c r="R12" s="165" t="n"/>
      <c r="S12" s="164" t="n"/>
      <c r="T12" s="164" t="n"/>
      <c r="U12" s="164" t="n"/>
      <c r="V12" s="164" t="n"/>
      <c r="W12" s="164" t="n"/>
      <c r="X12" s="164" t="n"/>
      <c r="Y12" s="165" t="n"/>
      <c r="Z12" s="164" t="n"/>
      <c r="AA12" s="164" t="n"/>
      <c r="AB12" s="164" t="n"/>
      <c r="AC12" s="164" t="n"/>
      <c r="AD12" s="164" t="n"/>
      <c r="AE12" s="165" t="n"/>
      <c r="AF12" s="165" t="n"/>
      <c r="AG12" s="164" t="n"/>
      <c r="AH12" s="164" t="n"/>
      <c r="AI12" s="164" t="n"/>
      <c r="AJ12" s="165" t="n"/>
      <c r="AK12" s="165" t="n"/>
      <c r="AL12" s="166">
        <f>SUM(G12:AK12)</f>
        <v/>
      </c>
      <c r="AM12" s="6" t="inlineStr">
        <is>
          <t>(C)</t>
        </is>
      </c>
      <c r="AN12" s="24" t="inlineStr">
        <is>
          <t>Số lượng còn lại chưa khai 残りの数量はまだ税関に申告されていません</t>
        </is>
      </c>
      <c r="AO12" s="148">
        <f>AO10+AO9-AO11</f>
        <v/>
      </c>
    </row>
    <row r="14" ht="21" customHeight="1" s="127" thickBot="1">
      <c r="B14" s="85" t="n">
        <v>2026</v>
      </c>
      <c r="D14" s="85" t="inlineStr">
        <is>
          <t>年</t>
        </is>
      </c>
      <c r="E14" s="85" t="n">
        <v>3</v>
      </c>
      <c r="F14" s="29" t="inlineStr">
        <is>
          <t>月</t>
        </is>
      </c>
      <c r="G14" s="8" t="n"/>
      <c r="H14" s="3" t="n"/>
      <c r="I14" s="3" t="n"/>
      <c r="J14" s="5" t="n"/>
      <c r="K14" s="5" t="n"/>
      <c r="L14" s="5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7" t="n"/>
    </row>
    <row r="15" ht="20.25" customFormat="1" customHeight="1" s="11">
      <c r="A15" s="173" t="inlineStr">
        <is>
          <t>mda0018 Thân khóa tay cầm (có khóa) ンドルロック本体 (キー付き)</t>
        </is>
      </c>
      <c r="B15" s="106" t="inlineStr">
        <is>
          <t>輸送</t>
        </is>
      </c>
      <c r="C15" s="129" t="n"/>
      <c r="D15" s="107" t="inlineStr">
        <is>
          <t>日</t>
        </is>
      </c>
      <c r="E15" s="130" t="n"/>
      <c r="F15" s="131" t="n"/>
      <c r="G15" s="132">
        <f>DATE(B14,E14,1)</f>
        <v/>
      </c>
      <c r="H15" s="132">
        <f>IF(G15="","",IF(DAY(G15+1)=1,"",G15+1))</f>
        <v/>
      </c>
      <c r="I15" s="132">
        <f>IF(H15="","",IF(DAY(H15+1)=1,"",H15+1))</f>
        <v/>
      </c>
      <c r="J15" s="132">
        <f>IF(I15="","",IF(DAY(I15+1)=1,"",I15+1))</f>
        <v/>
      </c>
      <c r="K15" s="132">
        <f>IF(J15="","",IF(DAY(J15+1)=1,"",J15+1))</f>
        <v/>
      </c>
      <c r="L15" s="132">
        <f>IF(K15="","",IF(DAY(K15+1)=1,"",K15+1))</f>
        <v/>
      </c>
      <c r="M15" s="132">
        <f>IF(L15="","",IF(DAY(L15+1)=1,"",L15+1))</f>
        <v/>
      </c>
      <c r="N15" s="132">
        <f>IF(M15="","",IF(DAY(M15+1)=1,"",M15+1))</f>
        <v/>
      </c>
      <c r="O15" s="132">
        <f>IF(N15="","",IF(DAY(N15+1)=1,"",N15+1))</f>
        <v/>
      </c>
      <c r="P15" s="132">
        <f>IF(O15="","",IF(DAY(O15+1)=1,"",O15+1))</f>
        <v/>
      </c>
      <c r="Q15" s="132">
        <f>IF(P15="","",IF(DAY(P15+1)=1,"",P15+1))</f>
        <v/>
      </c>
      <c r="R15" s="132">
        <f>IF(Q15="","",IF(DAY(Q15+1)=1,"",Q15+1))</f>
        <v/>
      </c>
      <c r="S15" s="132">
        <f>IF(R15="","",IF(DAY(R15+1)=1,"",R15+1))</f>
        <v/>
      </c>
      <c r="T15" s="132">
        <f>IF(S15="","",IF(DAY(S15+1)=1,"",S15+1))</f>
        <v/>
      </c>
      <c r="U15" s="132">
        <f>IF(T15="","",IF(DAY(T15+1)=1,"",T15+1))</f>
        <v/>
      </c>
      <c r="V15" s="132">
        <f>IF(U15="","",IF(DAY(U15+1)=1,"",U15+1))</f>
        <v/>
      </c>
      <c r="W15" s="132">
        <f>IF(V15="","",IF(DAY(V15+1)=1,"",V15+1))</f>
        <v/>
      </c>
      <c r="X15" s="132">
        <f>IF(W15="","",IF(DAY(W15+1)=1,"",W15+1))</f>
        <v/>
      </c>
      <c r="Y15" s="132">
        <f>IF(X15="","",IF(DAY(X15+1)=1,"",X15+1))</f>
        <v/>
      </c>
      <c r="Z15" s="132">
        <f>IF(Y15="","",IF(DAY(Y15+1)=1,"",Y15+1))</f>
        <v/>
      </c>
      <c r="AA15" s="132">
        <f>IF(Z15="","",IF(DAY(Z15+1)=1,"",Z15+1))</f>
        <v/>
      </c>
      <c r="AB15" s="132">
        <f>IF(AA15="","",IF(DAY(AA15+1)=1,"",AA15+1))</f>
        <v/>
      </c>
      <c r="AC15" s="132">
        <f>IF(AB15="","",IF(DAY(AB15+1)=1,"",AB15+1))</f>
        <v/>
      </c>
      <c r="AD15" s="132">
        <f>IF(AC15="","",IF(DAY(AC15+1)=1,"",AC15+1))</f>
        <v/>
      </c>
      <c r="AE15" s="132">
        <f>IF(AD15="","",IF(DAY(AD15+1)=1,"",AD15+1))</f>
        <v/>
      </c>
      <c r="AF15" s="132">
        <f>IF(AE15="","",IF(DAY(AE15+1)=1,"",AE15+1))</f>
        <v/>
      </c>
      <c r="AG15" s="132">
        <f>IF(AF15="","",IF(DAY(AF15+1)=1,"",AF15+1))</f>
        <v/>
      </c>
      <c r="AH15" s="132">
        <f>IF(AG15="","",IF(DAY(AG15+1)=1,"",AG15+1))</f>
        <v/>
      </c>
      <c r="AI15" s="132">
        <f>IF(AH15="","",IF(DAY(AH15+1)=1,"",AH15+1))</f>
        <v/>
      </c>
      <c r="AJ15" s="132">
        <f>IF(AI15="","",IF(DAY(AI15+1)=1,"",AI15+1))</f>
        <v/>
      </c>
      <c r="AK15" s="132">
        <f>IF(AJ15="","",IF(DAY(AJ15+1)=1,"",AJ15+1))</f>
        <v/>
      </c>
      <c r="AL15" s="133" t="inlineStr">
        <is>
          <t>Total</t>
        </is>
      </c>
      <c r="AM15" s="7" t="n"/>
      <c r="AN15" s="21" t="n"/>
      <c r="AO15" s="20" t="n"/>
    </row>
    <row r="16" ht="20.25" customFormat="1" customHeight="1" s="11">
      <c r="A16" s="134" t="n"/>
      <c r="B16" s="135" t="n"/>
      <c r="C16" s="136" t="n"/>
      <c r="D16" s="102" t="inlineStr">
        <is>
          <t>時間</t>
        </is>
      </c>
      <c r="E16" s="137" t="n"/>
      <c r="F16" s="138" t="n"/>
      <c r="G16" s="139">
        <f>+G15</f>
        <v/>
      </c>
      <c r="H16" s="139">
        <f>+H15</f>
        <v/>
      </c>
      <c r="I16" s="139">
        <f>+I15</f>
        <v/>
      </c>
      <c r="J16" s="139">
        <f>+J15</f>
        <v/>
      </c>
      <c r="K16" s="139">
        <f>+K15</f>
        <v/>
      </c>
      <c r="L16" s="139">
        <f>+L15</f>
        <v/>
      </c>
      <c r="M16" s="139">
        <f>+M15</f>
        <v/>
      </c>
      <c r="N16" s="139">
        <f>+N15</f>
        <v/>
      </c>
      <c r="O16" s="139">
        <f>+O15</f>
        <v/>
      </c>
      <c r="P16" s="139">
        <f>+P15</f>
        <v/>
      </c>
      <c r="Q16" s="139">
        <f>+Q15</f>
        <v/>
      </c>
      <c r="R16" s="139">
        <f>+R15</f>
        <v/>
      </c>
      <c r="S16" s="139">
        <f>+S15</f>
        <v/>
      </c>
      <c r="T16" s="139">
        <f>+T15</f>
        <v/>
      </c>
      <c r="U16" s="139">
        <f>+U15</f>
        <v/>
      </c>
      <c r="V16" s="139">
        <f>+V15</f>
        <v/>
      </c>
      <c r="W16" s="139">
        <f>+W15</f>
        <v/>
      </c>
      <c r="X16" s="139">
        <f>+X15</f>
        <v/>
      </c>
      <c r="Y16" s="139">
        <f>+Y15</f>
        <v/>
      </c>
      <c r="Z16" s="139">
        <f>+Z15</f>
        <v/>
      </c>
      <c r="AA16" s="139">
        <f>+AA15</f>
        <v/>
      </c>
      <c r="AB16" s="139">
        <f>+AB15</f>
        <v/>
      </c>
      <c r="AC16" s="139">
        <f>+AC15</f>
        <v/>
      </c>
      <c r="AD16" s="139">
        <f>+AD15</f>
        <v/>
      </c>
      <c r="AE16" s="139">
        <f>+AE15</f>
        <v/>
      </c>
      <c r="AF16" s="139">
        <f>+AF15</f>
        <v/>
      </c>
      <c r="AG16" s="139">
        <f>+AG15</f>
        <v/>
      </c>
      <c r="AH16" s="139">
        <f>+AH15</f>
        <v/>
      </c>
      <c r="AI16" s="139">
        <f>+AI15</f>
        <v/>
      </c>
      <c r="AJ16" s="139">
        <f>+AJ15</f>
        <v/>
      </c>
      <c r="AK16" s="139">
        <f>+AK15</f>
        <v/>
      </c>
      <c r="AL16" s="140" t="n"/>
      <c r="AN16" s="21" t="n"/>
      <c r="AO16" s="20" t="n"/>
    </row>
    <row r="17" ht="56.25" customFormat="1" customHeight="1" s="11">
      <c r="A17" s="134" t="n"/>
      <c r="B17" s="174" t="inlineStr">
        <is>
          <t>PO 注文書</t>
        </is>
      </c>
      <c r="C17" s="142" t="n"/>
      <c r="D17" s="142" t="n"/>
      <c r="E17" s="142" t="n"/>
      <c r="F17" s="143" t="n"/>
      <c r="G17" s="144" t="n"/>
      <c r="H17" s="145" t="n"/>
      <c r="I17" s="144" t="n"/>
      <c r="J17" s="145" t="n"/>
      <c r="K17" s="145" t="n">
        <v>2200</v>
      </c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  <c r="AA17" s="145" t="n"/>
      <c r="AB17" s="145" t="n"/>
      <c r="AC17" s="145" t="n"/>
      <c r="AD17" s="145" t="n"/>
      <c r="AE17" s="145" t="n"/>
      <c r="AF17" s="145" t="n"/>
      <c r="AG17" s="145" t="n"/>
      <c r="AH17" s="145" t="n"/>
      <c r="AI17" s="145" t="n"/>
      <c r="AJ17" s="145" t="n"/>
      <c r="AK17" s="145" t="n"/>
      <c r="AL17" s="146">
        <f>SUM(G17:AK17)</f>
        <v/>
      </c>
      <c r="AN17" s="147" t="inlineStr">
        <is>
          <t>Tồn PO
注文の 残量</t>
        </is>
      </c>
      <c r="AO17" s="148">
        <f>AO8+AL17-AO18</f>
        <v/>
      </c>
    </row>
    <row r="18" ht="56.25" customHeight="1" s="127">
      <c r="A18" s="134" t="n"/>
      <c r="B18" s="111" t="inlineStr">
        <is>
          <t xml:space="preserve">計画数量
kế hoạch </t>
        </is>
      </c>
      <c r="C18" s="149" t="n"/>
      <c r="D18" s="149" t="n"/>
      <c r="E18" s="149" t="n"/>
      <c r="F18" s="150" t="n"/>
      <c r="G18" s="144" t="n"/>
      <c r="H18" s="144" t="n"/>
      <c r="I18" s="144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  <c r="AA18" s="145" t="n"/>
      <c r="AB18" s="145" t="n"/>
      <c r="AC18" s="145" t="n"/>
      <c r="AD18" s="145" t="n"/>
      <c r="AE18" s="145" t="n"/>
      <c r="AF18" s="145" t="n"/>
      <c r="AG18" s="145" t="n"/>
      <c r="AH18" s="145" t="n"/>
      <c r="AI18" s="145" t="n"/>
      <c r="AJ18" s="145" t="n"/>
      <c r="AK18" s="145" t="n"/>
      <c r="AL18" s="151">
        <f>SUM(G18:AK18)</f>
        <v/>
      </c>
      <c r="AM18" s="0" t="n"/>
      <c r="AN18" s="24" t="inlineStr">
        <is>
          <t>Tổng nhập 総入荷数量
（A)-(B)+(C)</t>
        </is>
      </c>
      <c r="AO18" s="152">
        <f>AL19-AL20+AL21</f>
        <v/>
      </c>
    </row>
    <row r="19" ht="56.25" customHeight="1" s="127">
      <c r="A19" s="134" t="n"/>
      <c r="B19" s="111" t="inlineStr">
        <is>
          <t>実際の納品数量
số lượng thực nhập</t>
        </is>
      </c>
      <c r="C19" s="149" t="n"/>
      <c r="D19" s="149" t="n"/>
      <c r="E19" s="149" t="n"/>
      <c r="F19" s="150" t="n"/>
      <c r="G19" s="153" t="n"/>
      <c r="H19" s="153" t="n"/>
      <c r="I19" s="154" t="n"/>
      <c r="J19" s="155" t="n">
        <v>3</v>
      </c>
      <c r="K19" s="156" t="n"/>
      <c r="L19" s="156" t="n"/>
      <c r="M19" s="155" t="n"/>
      <c r="N19" s="155" t="n"/>
      <c r="O19" s="155" t="n">
        <v>2150</v>
      </c>
      <c r="P19" s="155" t="n"/>
      <c r="Q19" s="156" t="n"/>
      <c r="R19" s="156" t="n"/>
      <c r="S19" s="156" t="n"/>
      <c r="T19" s="156" t="n"/>
      <c r="U19" s="156" t="n"/>
      <c r="V19" s="156" t="n"/>
      <c r="W19" s="156" t="n"/>
      <c r="X19" s="156" t="n"/>
      <c r="Y19" s="156" t="n"/>
      <c r="Z19" s="156" t="n"/>
      <c r="AA19" s="156" t="n"/>
      <c r="AB19" s="156" t="n"/>
      <c r="AC19" s="155" t="n"/>
      <c r="AD19" s="155" t="n"/>
      <c r="AE19" s="156" t="n"/>
      <c r="AF19" s="156" t="n"/>
      <c r="AG19" s="155" t="n"/>
      <c r="AH19" s="155" t="n"/>
      <c r="AI19" s="156" t="n"/>
      <c r="AJ19" s="156" t="n"/>
      <c r="AK19" s="156" t="n"/>
      <c r="AL19" s="157">
        <f>SUM(G19:AK19)</f>
        <v/>
      </c>
      <c r="AM19" s="6" t="inlineStr">
        <is>
          <t>(A)</t>
        </is>
      </c>
      <c r="AN19" s="24" t="inlineStr">
        <is>
          <t>Số lượng chưa khai tháng trước 先月まだ税関に申告されていない数量</t>
        </is>
      </c>
      <c r="AO19" s="148">
        <f>AO12</f>
        <v/>
      </c>
    </row>
    <row r="20" ht="56.25" customHeight="1" s="127">
      <c r="A20" s="134" t="n"/>
      <c r="B20" s="111" t="inlineStr">
        <is>
          <t>NG数量（DO SUNG 社変更済）
số lượng NG (Trả hàng DO SUNG)</t>
        </is>
      </c>
      <c r="C20" s="149" t="n"/>
      <c r="D20" s="149" t="n"/>
      <c r="E20" s="149" t="n"/>
      <c r="F20" s="150" t="n"/>
      <c r="G20" s="144" t="n"/>
      <c r="H20" s="144" t="n"/>
      <c r="I20" s="144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5" t="n"/>
      <c r="AF20" s="145" t="n"/>
      <c r="AG20" s="145" t="n"/>
      <c r="AH20" s="145" t="n"/>
      <c r="AI20" s="145" t="n"/>
      <c r="AJ20" s="145" t="n"/>
      <c r="AK20" s="145" t="n"/>
      <c r="AL20" s="158">
        <f>SUM(G20:AK20)</f>
        <v/>
      </c>
      <c r="AM20" s="6" t="inlineStr">
        <is>
          <t>(B)</t>
        </is>
      </c>
      <c r="AN20" s="24" t="inlineStr">
        <is>
          <t>Số lượng đã khai tháng này 今月税関に申告された数量</t>
        </is>
      </c>
      <c r="AO20" s="26" t="n">
        <v>2200</v>
      </c>
    </row>
    <row r="21" ht="56.25" customHeight="1" s="127" thickBot="1">
      <c r="A21" s="159" t="n"/>
      <c r="B21" s="109" t="inlineStr">
        <is>
          <t>NG数量（ドンスン　社しゅり済）
số lượng NG (DO SUNG đã sửa )</t>
        </is>
      </c>
      <c r="C21" s="160" t="n"/>
      <c r="D21" s="160" t="n"/>
      <c r="E21" s="160" t="n"/>
      <c r="F21" s="161" t="n"/>
      <c r="G21" s="162" t="n"/>
      <c r="H21" s="162" t="n"/>
      <c r="I21" s="163" t="n"/>
      <c r="J21" s="164" t="n"/>
      <c r="K21" s="165" t="n"/>
      <c r="L21" s="164" t="n"/>
      <c r="M21" s="164" t="n"/>
      <c r="N21" s="164" t="n"/>
      <c r="O21" s="164" t="n"/>
      <c r="P21" s="164" t="n"/>
      <c r="Q21" s="164" t="n"/>
      <c r="R21" s="165" t="n"/>
      <c r="S21" s="164" t="n"/>
      <c r="T21" s="164" t="n"/>
      <c r="U21" s="164" t="n"/>
      <c r="V21" s="164" t="n"/>
      <c r="W21" s="164" t="n"/>
      <c r="X21" s="164" t="n"/>
      <c r="Y21" s="165" t="n"/>
      <c r="Z21" s="164" t="n"/>
      <c r="AA21" s="164" t="n"/>
      <c r="AB21" s="164" t="n"/>
      <c r="AC21" s="164" t="n"/>
      <c r="AD21" s="164" t="n"/>
      <c r="AE21" s="165" t="n"/>
      <c r="AF21" s="165" t="n"/>
      <c r="AG21" s="164" t="n"/>
      <c r="AH21" s="164" t="n"/>
      <c r="AI21" s="164" t="n"/>
      <c r="AJ21" s="165" t="n"/>
      <c r="AK21" s="165" t="n"/>
      <c r="AL21" s="166">
        <f>SUM(G21:AK21)</f>
        <v/>
      </c>
      <c r="AM21" s="6" t="inlineStr">
        <is>
          <t>(C)</t>
        </is>
      </c>
      <c r="AN21" s="24" t="inlineStr">
        <is>
          <t>Số lượng còn lại chưa khai 残りの数量はまだ税関に申告されていません</t>
        </is>
      </c>
      <c r="AO21" s="148">
        <f>AO19+AO18-AO20</f>
        <v/>
      </c>
    </row>
    <row r="23" ht="21" customHeight="1" s="127" thickBot="1">
      <c r="B23" s="85" t="n">
        <v>2026</v>
      </c>
      <c r="D23" s="85" t="inlineStr">
        <is>
          <t>年</t>
        </is>
      </c>
      <c r="E23" s="85" t="n">
        <v>5</v>
      </c>
      <c r="F23" s="29" t="inlineStr">
        <is>
          <t>月</t>
        </is>
      </c>
      <c r="G23" s="8" t="n"/>
      <c r="H23" s="3" t="n"/>
      <c r="I23" s="3" t="n"/>
      <c r="J23" s="5" t="n"/>
      <c r="K23" s="5" t="n"/>
      <c r="L23" s="5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7" t="n"/>
    </row>
    <row r="24" ht="20.25" customFormat="1" customHeight="1" s="11">
      <c r="A24" s="173" t="inlineStr">
        <is>
          <t>mda0018 Thân khóa tay cầm (có khóa) ンドルロック本体 (キー付き)</t>
        </is>
      </c>
      <c r="B24" s="106" t="inlineStr">
        <is>
          <t>輸送</t>
        </is>
      </c>
      <c r="C24" s="129" t="n"/>
      <c r="D24" s="107" t="inlineStr">
        <is>
          <t>日</t>
        </is>
      </c>
      <c r="E24" s="130" t="n"/>
      <c r="F24" s="131" t="n"/>
      <c r="G24" s="132">
        <f>DATE(B23,E23,1)</f>
        <v/>
      </c>
      <c r="H24" s="132">
        <f>IF(G24="","",IF(DAY(G24+1)=1,"",G24+1))</f>
        <v/>
      </c>
      <c r="I24" s="132">
        <f>IF(H24="","",IF(DAY(H24+1)=1,"",H24+1))</f>
        <v/>
      </c>
      <c r="J24" s="132">
        <f>IF(I24="","",IF(DAY(I24+1)=1,"",I24+1))</f>
        <v/>
      </c>
      <c r="K24" s="132">
        <f>IF(J24="","",IF(DAY(J24+1)=1,"",J24+1))</f>
        <v/>
      </c>
      <c r="L24" s="132">
        <f>IF(K24="","",IF(DAY(K24+1)=1,"",K24+1))</f>
        <v/>
      </c>
      <c r="M24" s="132">
        <f>IF(L24="","",IF(DAY(L24+1)=1,"",L24+1))</f>
        <v/>
      </c>
      <c r="N24" s="132">
        <f>IF(M24="","",IF(DAY(M24+1)=1,"",M24+1))</f>
        <v/>
      </c>
      <c r="O24" s="132">
        <f>IF(N24="","",IF(DAY(N24+1)=1,"",N24+1))</f>
        <v/>
      </c>
      <c r="P24" s="132">
        <f>IF(O24="","",IF(DAY(O24+1)=1,"",O24+1))</f>
        <v/>
      </c>
      <c r="Q24" s="132">
        <f>IF(P24="","",IF(DAY(P24+1)=1,"",P24+1))</f>
        <v/>
      </c>
      <c r="R24" s="132">
        <f>IF(Q24="","",IF(DAY(Q24+1)=1,"",Q24+1))</f>
        <v/>
      </c>
      <c r="S24" s="132">
        <f>IF(R24="","",IF(DAY(R24+1)=1,"",R24+1))</f>
        <v/>
      </c>
      <c r="T24" s="132">
        <f>IF(S24="","",IF(DAY(S24+1)=1,"",S24+1))</f>
        <v/>
      </c>
      <c r="U24" s="132">
        <f>IF(T24="","",IF(DAY(T24+1)=1,"",T24+1))</f>
        <v/>
      </c>
      <c r="V24" s="132">
        <f>IF(U24="","",IF(DAY(U24+1)=1,"",U24+1))</f>
        <v/>
      </c>
      <c r="W24" s="132">
        <f>IF(V24="","",IF(DAY(V24+1)=1,"",V24+1))</f>
        <v/>
      </c>
      <c r="X24" s="132">
        <f>IF(W24="","",IF(DAY(W24+1)=1,"",W24+1))</f>
        <v/>
      </c>
      <c r="Y24" s="132">
        <f>IF(X24="","",IF(DAY(X24+1)=1,"",X24+1))</f>
        <v/>
      </c>
      <c r="Z24" s="132">
        <f>IF(Y24="","",IF(DAY(Y24+1)=1,"",Y24+1))</f>
        <v/>
      </c>
      <c r="AA24" s="132">
        <f>IF(Z24="","",IF(DAY(Z24+1)=1,"",Z24+1))</f>
        <v/>
      </c>
      <c r="AB24" s="132">
        <f>IF(AA24="","",IF(DAY(AA24+1)=1,"",AA24+1))</f>
        <v/>
      </c>
      <c r="AC24" s="132">
        <f>IF(AB24="","",IF(DAY(AB24+1)=1,"",AB24+1))</f>
        <v/>
      </c>
      <c r="AD24" s="132">
        <f>IF(AC24="","",IF(DAY(AC24+1)=1,"",AC24+1))</f>
        <v/>
      </c>
      <c r="AE24" s="132">
        <f>IF(AD24="","",IF(DAY(AD24+1)=1,"",AD24+1))</f>
        <v/>
      </c>
      <c r="AF24" s="132">
        <f>IF(AE24="","",IF(DAY(AE24+1)=1,"",AE24+1))</f>
        <v/>
      </c>
      <c r="AG24" s="132">
        <f>IF(AF24="","",IF(DAY(AF24+1)=1,"",AF24+1))</f>
        <v/>
      </c>
      <c r="AH24" s="132">
        <f>IF(AG24="","",IF(DAY(AG24+1)=1,"",AG24+1))</f>
        <v/>
      </c>
      <c r="AI24" s="132">
        <f>IF(AH24="","",IF(DAY(AH24+1)=1,"",AH24+1))</f>
        <v/>
      </c>
      <c r="AJ24" s="132">
        <f>IF(AI24="","",IF(DAY(AI24+1)=1,"",AI24+1))</f>
        <v/>
      </c>
      <c r="AK24" s="132">
        <f>IF(AJ24="","",IF(DAY(AJ24+1)=1,"",AJ24+1))</f>
        <v/>
      </c>
      <c r="AL24" s="133" t="inlineStr">
        <is>
          <t>Total</t>
        </is>
      </c>
      <c r="AM24" s="7" t="n"/>
      <c r="AN24" s="21" t="n"/>
      <c r="AO24" s="20" t="n"/>
    </row>
    <row r="25" ht="20.25" customFormat="1" customHeight="1" s="11">
      <c r="A25" s="134" t="n"/>
      <c r="B25" s="135" t="n"/>
      <c r="C25" s="136" t="n"/>
      <c r="D25" s="102" t="inlineStr">
        <is>
          <t>時間</t>
        </is>
      </c>
      <c r="E25" s="137" t="n"/>
      <c r="F25" s="138" t="n"/>
      <c r="G25" s="139">
        <f>+G24</f>
        <v/>
      </c>
      <c r="H25" s="139">
        <f>+H24</f>
        <v/>
      </c>
      <c r="I25" s="139">
        <f>+I24</f>
        <v/>
      </c>
      <c r="J25" s="139">
        <f>+J24</f>
        <v/>
      </c>
      <c r="K25" s="139">
        <f>+K24</f>
        <v/>
      </c>
      <c r="L25" s="139">
        <f>+L24</f>
        <v/>
      </c>
      <c r="M25" s="139">
        <f>+M24</f>
        <v/>
      </c>
      <c r="N25" s="139">
        <f>+N24</f>
        <v/>
      </c>
      <c r="O25" s="139">
        <f>+O24</f>
        <v/>
      </c>
      <c r="P25" s="139">
        <f>+P24</f>
        <v/>
      </c>
      <c r="Q25" s="139">
        <f>+Q24</f>
        <v/>
      </c>
      <c r="R25" s="139">
        <f>+R24</f>
        <v/>
      </c>
      <c r="S25" s="139">
        <f>+S24</f>
        <v/>
      </c>
      <c r="T25" s="139">
        <f>+T24</f>
        <v/>
      </c>
      <c r="U25" s="139">
        <f>+U24</f>
        <v/>
      </c>
      <c r="V25" s="139">
        <f>+V24</f>
        <v/>
      </c>
      <c r="W25" s="139">
        <f>+W24</f>
        <v/>
      </c>
      <c r="X25" s="139">
        <f>+X24</f>
        <v/>
      </c>
      <c r="Y25" s="139">
        <f>+Y24</f>
        <v/>
      </c>
      <c r="Z25" s="139">
        <f>+Z24</f>
        <v/>
      </c>
      <c r="AA25" s="139">
        <f>+AA24</f>
        <v/>
      </c>
      <c r="AB25" s="139">
        <f>+AB24</f>
        <v/>
      </c>
      <c r="AC25" s="139">
        <f>+AC24</f>
        <v/>
      </c>
      <c r="AD25" s="139">
        <f>+AD24</f>
        <v/>
      </c>
      <c r="AE25" s="139">
        <f>+AE24</f>
        <v/>
      </c>
      <c r="AF25" s="139">
        <f>+AF24</f>
        <v/>
      </c>
      <c r="AG25" s="139">
        <f>+AG24</f>
        <v/>
      </c>
      <c r="AH25" s="139">
        <f>+AH24</f>
        <v/>
      </c>
      <c r="AI25" s="139">
        <f>+AI24</f>
        <v/>
      </c>
      <c r="AJ25" s="139">
        <f>+AJ24</f>
        <v/>
      </c>
      <c r="AK25" s="139">
        <f>+AK24</f>
        <v/>
      </c>
      <c r="AL25" s="140" t="n"/>
      <c r="AN25" s="21" t="n"/>
      <c r="AO25" s="20" t="n"/>
    </row>
    <row r="26" ht="56.25" customFormat="1" customHeight="1" s="11">
      <c r="A26" s="134" t="n"/>
      <c r="B26" s="174" t="inlineStr">
        <is>
          <t>PO 注文書</t>
        </is>
      </c>
      <c r="C26" s="142" t="n"/>
      <c r="D26" s="142" t="n"/>
      <c r="E26" s="142" t="n"/>
      <c r="F26" s="143" t="n"/>
      <c r="G26" s="144" t="n"/>
      <c r="H26" s="145" t="n"/>
      <c r="I26" s="144" t="n"/>
      <c r="J26" s="145" t="n"/>
      <c r="K26" s="145" t="n"/>
      <c r="L26" s="145" t="n">
        <v>1200</v>
      </c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  <c r="AA26" s="145" t="n"/>
      <c r="AB26" s="145" t="n"/>
      <c r="AC26" s="145" t="n"/>
      <c r="AD26" s="145" t="n"/>
      <c r="AE26" s="145" t="n"/>
      <c r="AF26" s="145" t="n"/>
      <c r="AG26" s="145" t="n"/>
      <c r="AH26" s="145" t="n"/>
      <c r="AI26" s="145" t="n"/>
      <c r="AJ26" s="145" t="n"/>
      <c r="AK26" s="145" t="n"/>
      <c r="AL26" s="146">
        <f>SUM(G26:AK26)</f>
        <v/>
      </c>
      <c r="AN26" s="147" t="inlineStr">
        <is>
          <t>Tồn PO
注文の 残量</t>
        </is>
      </c>
      <c r="AO26" s="148">
        <f>AO17+AL26-AO27</f>
        <v/>
      </c>
    </row>
    <row r="27" ht="56.25" customHeight="1" s="127">
      <c r="A27" s="134" t="n"/>
      <c r="B27" s="111" t="inlineStr">
        <is>
          <t xml:space="preserve">計画数量
kế hoạch </t>
        </is>
      </c>
      <c r="C27" s="149" t="n"/>
      <c r="D27" s="149" t="n"/>
      <c r="E27" s="149" t="n"/>
      <c r="F27" s="150" t="n"/>
      <c r="G27" s="144" t="n"/>
      <c r="H27" s="144" t="n"/>
      <c r="I27" s="144" t="n"/>
      <c r="J27" s="145" t="n"/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  <c r="AA27" s="145" t="n"/>
      <c r="AB27" s="145" t="n"/>
      <c r="AC27" s="145" t="n"/>
      <c r="AD27" s="145" t="n"/>
      <c r="AE27" s="145" t="n"/>
      <c r="AF27" s="145" t="n"/>
      <c r="AG27" s="145" t="n"/>
      <c r="AH27" s="145" t="n"/>
      <c r="AI27" s="145" t="n"/>
      <c r="AJ27" s="145" t="n"/>
      <c r="AK27" s="145" t="n"/>
      <c r="AL27" s="151">
        <f>SUM(G27:AK27)</f>
        <v/>
      </c>
      <c r="AM27" s="0" t="n"/>
      <c r="AN27" s="24" t="inlineStr">
        <is>
          <t>Tổng nhập 総入荷数量
（A)-(B)+(C)</t>
        </is>
      </c>
      <c r="AO27" s="152">
        <f>AL28-AL29+AL30</f>
        <v/>
      </c>
    </row>
    <row r="28" ht="56.25" customHeight="1" s="127">
      <c r="A28" s="134" t="n"/>
      <c r="B28" s="111" t="inlineStr">
        <is>
          <t>実際の納品数量
số lượng thực nhập</t>
        </is>
      </c>
      <c r="C28" s="149" t="n"/>
      <c r="D28" s="149" t="n"/>
      <c r="E28" s="149" t="n"/>
      <c r="F28" s="150" t="n"/>
      <c r="G28" s="153" t="n"/>
      <c r="H28" s="153" t="n"/>
      <c r="I28" s="154" t="n"/>
      <c r="J28" s="155" t="n"/>
      <c r="K28" s="156" t="n"/>
      <c r="L28" s="156" t="n"/>
      <c r="M28" s="155" t="n"/>
      <c r="N28" s="155" t="n"/>
      <c r="O28" s="155" t="n"/>
      <c r="P28" s="155" t="n"/>
      <c r="Q28" s="156" t="n">
        <v>1200</v>
      </c>
      <c r="R28" s="156" t="n"/>
      <c r="S28" s="156" t="n"/>
      <c r="T28" s="156" t="n"/>
      <c r="U28" s="156" t="n"/>
      <c r="V28" s="156" t="n"/>
      <c r="W28" s="156" t="n"/>
      <c r="X28" s="156" t="n"/>
      <c r="Y28" s="156" t="n"/>
      <c r="Z28" s="156" t="n"/>
      <c r="AA28" s="156" t="n"/>
      <c r="AB28" s="156" t="n"/>
      <c r="AC28" s="155" t="n"/>
      <c r="AD28" s="155" t="n"/>
      <c r="AE28" s="156" t="n"/>
      <c r="AF28" s="156" t="n"/>
      <c r="AG28" s="155" t="n"/>
      <c r="AH28" s="155" t="n"/>
      <c r="AI28" s="156" t="n"/>
      <c r="AJ28" s="156" t="n"/>
      <c r="AK28" s="156" t="n"/>
      <c r="AL28" s="157">
        <f>SUM(G28:AK28)</f>
        <v/>
      </c>
      <c r="AM28" s="6" t="inlineStr">
        <is>
          <t>(A)</t>
        </is>
      </c>
      <c r="AN28" s="24" t="inlineStr">
        <is>
          <t>Số lượng chưa khai tháng trước 先月まだ税関に申告されていない数量</t>
        </is>
      </c>
      <c r="AO28" s="148">
        <f>AO21</f>
        <v/>
      </c>
    </row>
    <row r="29" ht="56.25" customHeight="1" s="127">
      <c r="A29" s="134" t="n"/>
      <c r="B29" s="111" t="inlineStr">
        <is>
          <t>NG数量（DO SUNG 社変更済）
số lượng NG (Trả hàng DO SUNG)</t>
        </is>
      </c>
      <c r="C29" s="149" t="n"/>
      <c r="D29" s="149" t="n"/>
      <c r="E29" s="149" t="n"/>
      <c r="F29" s="150" t="n"/>
      <c r="G29" s="144" t="n"/>
      <c r="H29" s="144" t="n"/>
      <c r="I29" s="144" t="n"/>
      <c r="J29" s="145" t="n"/>
      <c r="K29" s="145" t="n"/>
      <c r="L29" s="145" t="n"/>
      <c r="M29" s="145" t="n"/>
      <c r="N29" s="145" t="n"/>
      <c r="O29" s="145" t="n"/>
      <c r="P29" s="145" t="n"/>
      <c r="Q29" s="145" t="n"/>
      <c r="R29" s="145" t="n"/>
      <c r="S29" s="145" t="n"/>
      <c r="T29" s="145" t="n">
        <v>489</v>
      </c>
      <c r="U29" s="145" t="n"/>
      <c r="V29" s="145" t="n"/>
      <c r="W29" s="145" t="n"/>
      <c r="X29" s="145" t="n"/>
      <c r="Y29" s="145" t="n"/>
      <c r="Z29" s="145" t="n"/>
      <c r="AA29" s="145" t="n"/>
      <c r="AB29" s="145" t="n"/>
      <c r="AC29" s="145" t="n"/>
      <c r="AD29" s="145" t="n"/>
      <c r="AE29" s="145" t="n"/>
      <c r="AF29" s="145" t="n"/>
      <c r="AG29" s="145" t="n"/>
      <c r="AH29" s="145" t="n"/>
      <c r="AI29" s="145" t="n"/>
      <c r="AJ29" s="145" t="n"/>
      <c r="AK29" s="145" t="n"/>
      <c r="AL29" s="158">
        <f>SUM(G29:AK29)</f>
        <v/>
      </c>
      <c r="AM29" s="6" t="inlineStr">
        <is>
          <t>(B)</t>
        </is>
      </c>
      <c r="AN29" s="24" t="inlineStr">
        <is>
          <t>Số lượng đã khai tháng này 今月税関に申告された数量</t>
        </is>
      </c>
      <c r="AO29" s="26" t="n">
        <v>1200</v>
      </c>
    </row>
    <row r="30" ht="56.25" customHeight="1" s="127" thickBot="1">
      <c r="A30" s="159" t="n"/>
      <c r="B30" s="109" t="inlineStr">
        <is>
          <t>NG数量（ドンスン　社しゅり済）
số lượng NG (DO SUNG đã sửa )</t>
        </is>
      </c>
      <c r="C30" s="160" t="n"/>
      <c r="D30" s="160" t="n"/>
      <c r="E30" s="160" t="n"/>
      <c r="F30" s="161" t="n"/>
      <c r="G30" s="162" t="n"/>
      <c r="H30" s="162" t="n"/>
      <c r="I30" s="163" t="n"/>
      <c r="J30" s="164" t="n"/>
      <c r="K30" s="165" t="n"/>
      <c r="L30" s="164" t="n"/>
      <c r="M30" s="164" t="n"/>
      <c r="N30" s="164" t="n"/>
      <c r="O30" s="164" t="n"/>
      <c r="P30" s="164" t="n"/>
      <c r="Q30" s="164" t="n">
        <v>33</v>
      </c>
      <c r="R30" s="165" t="n"/>
      <c r="S30" s="164" t="n"/>
      <c r="T30" s="164" t="n">
        <v>435</v>
      </c>
      <c r="U30" s="164" t="n"/>
      <c r="V30" s="164" t="n"/>
      <c r="W30" s="164" t="n"/>
      <c r="X30" s="164" t="n"/>
      <c r="Y30" s="165" t="n"/>
      <c r="Z30" s="164" t="n"/>
      <c r="AA30" s="164" t="n"/>
      <c r="AB30" s="164" t="n"/>
      <c r="AC30" s="164" t="n"/>
      <c r="AD30" s="164" t="n"/>
      <c r="AE30" s="165" t="n"/>
      <c r="AF30" s="165" t="n"/>
      <c r="AG30" s="164" t="n"/>
      <c r="AH30" s="164" t="n"/>
      <c r="AI30" s="164" t="n"/>
      <c r="AJ30" s="165" t="n"/>
      <c r="AK30" s="165" t="n"/>
      <c r="AL30" s="166">
        <f>SUM(G30:AK30)</f>
        <v/>
      </c>
      <c r="AM30" s="6" t="inlineStr">
        <is>
          <t>(C)</t>
        </is>
      </c>
      <c r="AN30" s="24" t="inlineStr">
        <is>
          <t>Số lượng còn lại chưa khai 残りの数量はまだ税関に申告されていません</t>
        </is>
      </c>
      <c r="AO30" s="148">
        <f>AO28+AO27-AO29</f>
        <v/>
      </c>
    </row>
    <row r="33" ht="29.25" customHeight="1" s="127" thickBot="1">
      <c r="B33" s="85" t="n">
        <v>2026</v>
      </c>
      <c r="D33" s="85" t="inlineStr">
        <is>
          <t>年</t>
        </is>
      </c>
      <c r="E33" s="85" t="n">
        <v>10</v>
      </c>
      <c r="F33" s="29" t="inlineStr">
        <is>
          <t>月</t>
        </is>
      </c>
      <c r="G33" s="8" t="n"/>
      <c r="H33" s="3" t="n"/>
      <c r="I33" s="3" t="n"/>
      <c r="J33" s="5" t="n"/>
      <c r="K33" s="5" t="n"/>
      <c r="L33" s="5" t="n"/>
      <c r="M33" s="4" t="n"/>
      <c r="N33" s="4" t="n"/>
      <c r="O33" s="4" t="n"/>
      <c r="P33" s="4" t="n"/>
      <c r="Q33" s="71" t="inlineStr">
        <is>
          <t>11/07/2026 đặt PO</t>
        </is>
      </c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7" t="n"/>
    </row>
    <row r="34" ht="28.5" customHeight="1" s="127">
      <c r="A34" s="173" t="inlineStr">
        <is>
          <t>mda0018 Thân khóa tay cầm (có khóa) ンドルロック本体 (キー付き)</t>
        </is>
      </c>
      <c r="B34" s="106" t="inlineStr">
        <is>
          <t>輸送</t>
        </is>
      </c>
      <c r="C34" s="129" t="n"/>
      <c r="D34" s="107" t="inlineStr">
        <is>
          <t>日</t>
        </is>
      </c>
      <c r="E34" s="130" t="n"/>
      <c r="F34" s="131" t="n"/>
      <c r="G34" s="132">
        <f>DATE(B33,E33,1)</f>
        <v/>
      </c>
      <c r="H34" s="132">
        <f>IF(G34="","",IF(DAY(G34+1)=1,"",G34+1))</f>
        <v/>
      </c>
      <c r="I34" s="132">
        <f>IF(H34="","",IF(DAY(H34+1)=1,"",H34+1))</f>
        <v/>
      </c>
      <c r="J34" s="132">
        <f>IF(I34="","",IF(DAY(I34+1)=1,"",I34+1))</f>
        <v/>
      </c>
      <c r="K34" s="132">
        <f>IF(J34="","",IF(DAY(J34+1)=1,"",J34+1))</f>
        <v/>
      </c>
      <c r="L34" s="132">
        <f>IF(K34="","",IF(DAY(K34+1)=1,"",K34+1))</f>
        <v/>
      </c>
      <c r="M34" s="132">
        <f>IF(L34="","",IF(DAY(L34+1)=1,"",L34+1))</f>
        <v/>
      </c>
      <c r="N34" s="132">
        <f>IF(M34="","",IF(DAY(M34+1)=1,"",M34+1))</f>
        <v/>
      </c>
      <c r="O34" s="132">
        <f>IF(N34="","",IF(DAY(N34+1)=1,"",N34+1))</f>
        <v/>
      </c>
      <c r="P34" s="132">
        <f>IF(O34="","",IF(DAY(O34+1)=1,"",O34+1))</f>
        <v/>
      </c>
      <c r="Q34" s="132">
        <f>IF(P34="","",IF(DAY(P34+1)=1,"",P34+1))</f>
        <v/>
      </c>
      <c r="R34" s="132">
        <f>IF(Q34="","",IF(DAY(Q34+1)=1,"",Q34+1))</f>
        <v/>
      </c>
      <c r="S34" s="132">
        <f>IF(R34="","",IF(DAY(R34+1)=1,"",R34+1))</f>
        <v/>
      </c>
      <c r="T34" s="132">
        <f>IF(S34="","",IF(DAY(S34+1)=1,"",S34+1))</f>
        <v/>
      </c>
      <c r="U34" s="132">
        <f>IF(T34="","",IF(DAY(T34+1)=1,"",T34+1))</f>
        <v/>
      </c>
      <c r="V34" s="132">
        <f>IF(U34="","",IF(DAY(U34+1)=1,"",U34+1))</f>
        <v/>
      </c>
      <c r="W34" s="132">
        <f>IF(V34="","",IF(DAY(V34+1)=1,"",V34+1))</f>
        <v/>
      </c>
      <c r="X34" s="132">
        <f>IF(W34="","",IF(DAY(W34+1)=1,"",W34+1))</f>
        <v/>
      </c>
      <c r="Y34" s="132">
        <f>IF(X34="","",IF(DAY(X34+1)=1,"",X34+1))</f>
        <v/>
      </c>
      <c r="Z34" s="132">
        <f>IF(Y34="","",IF(DAY(Y34+1)=1,"",Y34+1))</f>
        <v/>
      </c>
      <c r="AA34" s="132">
        <f>IF(Z34="","",IF(DAY(Z34+1)=1,"",Z34+1))</f>
        <v/>
      </c>
      <c r="AB34" s="132">
        <f>IF(AA34="","",IF(DAY(AA34+1)=1,"",AA34+1))</f>
        <v/>
      </c>
      <c r="AC34" s="132">
        <f>IF(AB34="","",IF(DAY(AB34+1)=1,"",AB34+1))</f>
        <v/>
      </c>
      <c r="AD34" s="132">
        <f>IF(AC34="","",IF(DAY(AC34+1)=1,"",AC34+1))</f>
        <v/>
      </c>
      <c r="AE34" s="132">
        <f>IF(AD34="","",IF(DAY(AD34+1)=1,"",AD34+1))</f>
        <v/>
      </c>
      <c r="AF34" s="132">
        <f>IF(AE34="","",IF(DAY(AE34+1)=1,"",AE34+1))</f>
        <v/>
      </c>
      <c r="AG34" s="132">
        <f>IF(AF34="","",IF(DAY(AF34+1)=1,"",AF34+1))</f>
        <v/>
      </c>
      <c r="AH34" s="132">
        <f>IF(AG34="","",IF(DAY(AG34+1)=1,"",AG34+1))</f>
        <v/>
      </c>
      <c r="AI34" s="132">
        <f>IF(AH34="","",IF(DAY(AH34+1)=1,"",AH34+1))</f>
        <v/>
      </c>
      <c r="AJ34" s="132">
        <f>IF(AI34="","",IF(DAY(AI34+1)=1,"",AI34+1))</f>
        <v/>
      </c>
      <c r="AK34" s="132">
        <f>IF(AJ34="","",IF(DAY(AJ34+1)=1,"",AJ34+1))</f>
        <v/>
      </c>
      <c r="AL34" s="133" t="inlineStr">
        <is>
          <t>Total</t>
        </is>
      </c>
      <c r="AM34" s="7" t="n"/>
      <c r="AN34" s="21" t="n"/>
    </row>
    <row r="35">
      <c r="A35" s="134" t="n"/>
      <c r="B35" s="135" t="n"/>
      <c r="C35" s="136" t="n"/>
      <c r="D35" s="102" t="inlineStr">
        <is>
          <t>時間</t>
        </is>
      </c>
      <c r="E35" s="137" t="n"/>
      <c r="F35" s="138" t="n"/>
      <c r="G35" s="139">
        <f>+G34</f>
        <v/>
      </c>
      <c r="H35" s="139">
        <f>+H34</f>
        <v/>
      </c>
      <c r="I35" s="139">
        <f>+I34</f>
        <v/>
      </c>
      <c r="J35" s="139">
        <f>+J34</f>
        <v/>
      </c>
      <c r="K35" s="139">
        <f>+K34</f>
        <v/>
      </c>
      <c r="L35" s="139">
        <f>+L34</f>
        <v/>
      </c>
      <c r="M35" s="139">
        <f>+M34</f>
        <v/>
      </c>
      <c r="N35" s="139">
        <f>+N34</f>
        <v/>
      </c>
      <c r="O35" s="139">
        <f>+O34</f>
        <v/>
      </c>
      <c r="P35" s="139">
        <f>+P34</f>
        <v/>
      </c>
      <c r="Q35" s="139">
        <f>+Q34</f>
        <v/>
      </c>
      <c r="R35" s="139">
        <f>+R34</f>
        <v/>
      </c>
      <c r="S35" s="139">
        <f>+S34</f>
        <v/>
      </c>
      <c r="T35" s="139">
        <f>+T34</f>
        <v/>
      </c>
      <c r="U35" s="139">
        <f>+U34</f>
        <v/>
      </c>
      <c r="V35" s="139">
        <f>+V34</f>
        <v/>
      </c>
      <c r="W35" s="139">
        <f>+W34</f>
        <v/>
      </c>
      <c r="X35" s="139">
        <f>+X34</f>
        <v/>
      </c>
      <c r="Y35" s="139">
        <f>+Y34</f>
        <v/>
      </c>
      <c r="Z35" s="139">
        <f>+Z34</f>
        <v/>
      </c>
      <c r="AA35" s="139">
        <f>+AA34</f>
        <v/>
      </c>
      <c r="AB35" s="139">
        <f>+AB34</f>
        <v/>
      </c>
      <c r="AC35" s="139">
        <f>+AC34</f>
        <v/>
      </c>
      <c r="AD35" s="139">
        <f>+AD34</f>
        <v/>
      </c>
      <c r="AE35" s="139">
        <f>+AE34</f>
        <v/>
      </c>
      <c r="AF35" s="139">
        <f>+AF34</f>
        <v/>
      </c>
      <c r="AG35" s="139">
        <f>+AG34</f>
        <v/>
      </c>
      <c r="AH35" s="139">
        <f>+AH34</f>
        <v/>
      </c>
      <c r="AI35" s="139">
        <f>+AI34</f>
        <v/>
      </c>
      <c r="AJ35" s="139">
        <f>+AJ34</f>
        <v/>
      </c>
      <c r="AK35" s="139">
        <f>+AK34</f>
        <v/>
      </c>
      <c r="AL35" s="140" t="n"/>
      <c r="AM35" s="11" t="n"/>
      <c r="AN35" s="21" t="n"/>
    </row>
    <row r="36" ht="42" customHeight="1" s="127">
      <c r="A36" s="134" t="n"/>
      <c r="B36" s="174" t="inlineStr">
        <is>
          <t>PO 注文書</t>
        </is>
      </c>
      <c r="C36" s="142" t="n"/>
      <c r="D36" s="142" t="n"/>
      <c r="E36" s="142" t="n"/>
      <c r="F36" s="143" t="n"/>
      <c r="G36" s="144" t="n"/>
      <c r="H36" s="145" t="n"/>
      <c r="I36" s="144" t="n"/>
      <c r="J36" s="145" t="n"/>
      <c r="K36" s="145" t="n"/>
      <c r="L36" s="145" t="n"/>
      <c r="M36" s="145" t="n"/>
      <c r="N36" s="145" t="n"/>
      <c r="O36" s="145" t="n"/>
      <c r="P36" s="145" t="n"/>
      <c r="Q36" s="145" t="n">
        <v>1000</v>
      </c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  <c r="AA36" s="145" t="n"/>
      <c r="AB36" s="145" t="n"/>
      <c r="AC36" s="145" t="n"/>
      <c r="AD36" s="145" t="n"/>
      <c r="AE36" s="145" t="n"/>
      <c r="AF36" s="145" t="n"/>
      <c r="AG36" s="145" t="n"/>
      <c r="AH36" s="145" t="n"/>
      <c r="AI36" s="145" t="n"/>
      <c r="AJ36" s="145" t="n"/>
      <c r="AK36" s="145" t="n"/>
      <c r="AL36" s="146">
        <f>SUM(G36:AK36)</f>
        <v/>
      </c>
      <c r="AM36" s="11" t="n"/>
      <c r="AN36" s="147" t="inlineStr">
        <is>
          <t>Tồn PO
注文の 残量</t>
        </is>
      </c>
      <c r="AO36" s="148">
        <f>AL36</f>
        <v/>
      </c>
    </row>
    <row r="37" ht="63" customHeight="1" s="127">
      <c r="A37" s="134" t="n"/>
      <c r="B37" s="111" t="inlineStr">
        <is>
          <t xml:space="preserve">計画数量
kế hoạch </t>
        </is>
      </c>
      <c r="C37" s="149" t="n"/>
      <c r="D37" s="149" t="n"/>
      <c r="E37" s="149" t="n"/>
      <c r="F37" s="150" t="n"/>
      <c r="G37" s="144" t="n">
        <v>1000</v>
      </c>
      <c r="H37" s="144" t="n"/>
      <c r="I37" s="144" t="n"/>
      <c r="J37" s="145" t="n"/>
      <c r="K37" s="145" t="n"/>
      <c r="L37" s="145" t="n"/>
      <c r="M37" s="145" t="n"/>
      <c r="N37" s="145" t="n"/>
      <c r="O37" s="145" t="n"/>
      <c r="P37" s="145" t="n"/>
      <c r="Q37" s="145" t="n"/>
      <c r="R37" s="145" t="n"/>
      <c r="S37" s="145" t="n"/>
      <c r="T37" s="145" t="n"/>
      <c r="U37" s="145" t="n"/>
      <c r="V37" s="145" t="n"/>
      <c r="W37" s="145" t="n"/>
      <c r="X37" s="145" t="n"/>
      <c r="Y37" s="145" t="n"/>
      <c r="Z37" s="145" t="n"/>
      <c r="AA37" s="145" t="n"/>
      <c r="AB37" s="145" t="n"/>
      <c r="AC37" s="145" t="n"/>
      <c r="AD37" s="145" t="n"/>
      <c r="AE37" s="145" t="n"/>
      <c r="AF37" s="145" t="n"/>
      <c r="AG37" s="145" t="n"/>
      <c r="AH37" s="145" t="n"/>
      <c r="AI37" s="145" t="n"/>
      <c r="AJ37" s="145" t="n"/>
      <c r="AK37" s="145" t="n"/>
      <c r="AL37" s="151">
        <f>SUM(G37:AK37)</f>
        <v/>
      </c>
      <c r="AM37" s="0" t="n"/>
      <c r="AN37" s="24" t="inlineStr">
        <is>
          <t>Tổng nhập 総入荷数量
（A)-(B)+(C)</t>
        </is>
      </c>
      <c r="AO37" s="152">
        <f>AL38-AL39+AL40</f>
        <v/>
      </c>
    </row>
    <row r="38" ht="105" customHeight="1" s="127">
      <c r="A38" s="134" t="n"/>
      <c r="B38" s="111" t="inlineStr">
        <is>
          <t>実際の納品数量
số lượng thực nhập</t>
        </is>
      </c>
      <c r="C38" s="149" t="n"/>
      <c r="D38" s="149" t="n"/>
      <c r="E38" s="149" t="n"/>
      <c r="F38" s="150" t="n"/>
      <c r="G38" s="153" t="n"/>
      <c r="H38" s="153" t="n"/>
      <c r="I38" s="154" t="n"/>
      <c r="J38" s="155" t="n"/>
      <c r="K38" s="156" t="n"/>
      <c r="L38" s="156" t="n"/>
      <c r="M38" s="155" t="n"/>
      <c r="N38" s="155" t="n"/>
      <c r="O38" s="155" t="n"/>
      <c r="P38" s="155" t="n"/>
      <c r="Q38" s="156" t="n"/>
      <c r="R38" s="156" t="n"/>
      <c r="S38" s="156" t="n"/>
      <c r="T38" s="156" t="n"/>
      <c r="U38" s="156" t="n"/>
      <c r="V38" s="156" t="n"/>
      <c r="W38" s="156" t="n"/>
      <c r="X38" s="156" t="n"/>
      <c r="Y38" s="156" t="n"/>
      <c r="Z38" s="156" t="n"/>
      <c r="AA38" s="156" t="n"/>
      <c r="AB38" s="156" t="n"/>
      <c r="AC38" s="155" t="n"/>
      <c r="AD38" s="155" t="n"/>
      <c r="AE38" s="156" t="n"/>
      <c r="AF38" s="156" t="n"/>
      <c r="AG38" s="155" t="n"/>
      <c r="AH38" s="155" t="n"/>
      <c r="AI38" s="156" t="n"/>
      <c r="AJ38" s="156" t="n"/>
      <c r="AK38" s="156" t="n"/>
      <c r="AL38" s="157">
        <f>SUM(G38:AK38)</f>
        <v/>
      </c>
      <c r="AM38" s="6" t="inlineStr">
        <is>
          <t>(A)</t>
        </is>
      </c>
      <c r="AN38" s="24" t="inlineStr">
        <is>
          <t>Số lượng chưa khai tháng trước 先月まだ税関に申告されていない数量</t>
        </is>
      </c>
      <c r="AO38" s="148">
        <f>AO31</f>
        <v/>
      </c>
    </row>
    <row r="39" ht="84" customHeight="1" s="127">
      <c r="A39" s="134" t="n"/>
      <c r="B39" s="111" t="inlineStr">
        <is>
          <t>NG数量（DO SUNG 社変更済）
số lượng NG (Trả hàng DO SUNG)</t>
        </is>
      </c>
      <c r="C39" s="149" t="n"/>
      <c r="D39" s="149" t="n"/>
      <c r="E39" s="149" t="n"/>
      <c r="F39" s="150" t="n"/>
      <c r="G39" s="144" t="n"/>
      <c r="H39" s="144" t="n"/>
      <c r="I39" s="144" t="n"/>
      <c r="J39" s="145" t="n"/>
      <c r="K39" s="145" t="n"/>
      <c r="L39" s="145" t="n"/>
      <c r="M39" s="145" t="n"/>
      <c r="N39" s="145" t="n"/>
      <c r="O39" s="145" t="n"/>
      <c r="P39" s="145" t="n"/>
      <c r="Q39" s="145" t="n"/>
      <c r="R39" s="145" t="n"/>
      <c r="S39" s="145" t="n"/>
      <c r="T39" s="145" t="n"/>
      <c r="U39" s="145" t="n"/>
      <c r="V39" s="145" t="n"/>
      <c r="W39" s="145" t="n"/>
      <c r="X39" s="145" t="n"/>
      <c r="Y39" s="145" t="n"/>
      <c r="Z39" s="145" t="n"/>
      <c r="AA39" s="145" t="n"/>
      <c r="AB39" s="145" t="n"/>
      <c r="AC39" s="145" t="n"/>
      <c r="AD39" s="145" t="n"/>
      <c r="AE39" s="145" t="n"/>
      <c r="AF39" s="145" t="n"/>
      <c r="AG39" s="145" t="n"/>
      <c r="AH39" s="145" t="n"/>
      <c r="AI39" s="145" t="n"/>
      <c r="AJ39" s="145" t="n"/>
      <c r="AK39" s="145" t="n"/>
      <c r="AL39" s="158">
        <f>SUM(G39:AK39)</f>
        <v/>
      </c>
      <c r="AM39" s="6" t="inlineStr">
        <is>
          <t>(B)</t>
        </is>
      </c>
      <c r="AN39" s="24" t="inlineStr">
        <is>
          <t>Số lượng đã khai tháng này 今月税関に申告された数量</t>
        </is>
      </c>
      <c r="AO39" s="26" t="n"/>
    </row>
    <row r="40" ht="105.75" customHeight="1" s="127" thickBot="1">
      <c r="A40" s="159" t="n"/>
      <c r="B40" s="109" t="inlineStr">
        <is>
          <t>NG数量（ドンスン　社しゅり済）
số lượng NG (DO SUNG đã sửa )</t>
        </is>
      </c>
      <c r="C40" s="160" t="n"/>
      <c r="D40" s="160" t="n"/>
      <c r="E40" s="160" t="n"/>
      <c r="F40" s="161" t="n"/>
      <c r="G40" s="162" t="n"/>
      <c r="H40" s="162" t="n"/>
      <c r="I40" s="163" t="n"/>
      <c r="J40" s="164" t="n"/>
      <c r="K40" s="165" t="n"/>
      <c r="L40" s="164" t="n"/>
      <c r="M40" s="164" t="n"/>
      <c r="N40" s="164" t="n"/>
      <c r="O40" s="164" t="n"/>
      <c r="P40" s="164" t="n"/>
      <c r="Q40" s="164" t="n"/>
      <c r="R40" s="165" t="n"/>
      <c r="S40" s="164" t="n"/>
      <c r="T40" s="164" t="n"/>
      <c r="U40" s="164" t="n"/>
      <c r="V40" s="164" t="n"/>
      <c r="W40" s="164" t="n"/>
      <c r="X40" s="164" t="n"/>
      <c r="Y40" s="165" t="n"/>
      <c r="Z40" s="164" t="n"/>
      <c r="AA40" s="164" t="n"/>
      <c r="AB40" s="164" t="n"/>
      <c r="AC40" s="164" t="n"/>
      <c r="AD40" s="164" t="n"/>
      <c r="AE40" s="165" t="n"/>
      <c r="AF40" s="165" t="n"/>
      <c r="AG40" s="164" t="n"/>
      <c r="AH40" s="164" t="n"/>
      <c r="AI40" s="164" t="n"/>
      <c r="AJ40" s="165" t="n"/>
      <c r="AK40" s="165" t="n"/>
      <c r="AL40" s="166">
        <f>SUM(G40:AK40)</f>
        <v/>
      </c>
      <c r="AM40" s="6" t="inlineStr">
        <is>
          <t>(C)</t>
        </is>
      </c>
      <c r="AN40" s="24" t="inlineStr">
        <is>
          <t>Số lượng còn lại chưa khai 残りの数量はまだ税関に申告されていません</t>
        </is>
      </c>
      <c r="AO40" s="148">
        <f>AO38+AO37-AO39</f>
        <v/>
      </c>
    </row>
  </sheetData>
  <mergeCells count="46">
    <mergeCell ref="AG4:AK4"/>
    <mergeCell ref="B34:C35"/>
    <mergeCell ref="B15:C16"/>
    <mergeCell ref="B6:C7"/>
    <mergeCell ref="B24:C25"/>
    <mergeCell ref="D7:F7"/>
    <mergeCell ref="B18:F18"/>
    <mergeCell ref="D16:F16"/>
    <mergeCell ref="B27:F27"/>
    <mergeCell ref="B21:F21"/>
    <mergeCell ref="B12:F12"/>
    <mergeCell ref="B39:F39"/>
    <mergeCell ref="B11:F11"/>
    <mergeCell ref="B23:C23"/>
    <mergeCell ref="B14:C14"/>
    <mergeCell ref="B8:F8"/>
    <mergeCell ref="D25:F25"/>
    <mergeCell ref="B17:F17"/>
    <mergeCell ref="D15:F15"/>
    <mergeCell ref="A15:A21"/>
    <mergeCell ref="AL24:AL25"/>
    <mergeCell ref="D24:F24"/>
    <mergeCell ref="B29:F29"/>
    <mergeCell ref="A34:A40"/>
    <mergeCell ref="B38:F38"/>
    <mergeCell ref="B10:F10"/>
    <mergeCell ref="B28:F28"/>
    <mergeCell ref="B19:F19"/>
    <mergeCell ref="D35:F35"/>
    <mergeCell ref="B37:F37"/>
    <mergeCell ref="A24:A30"/>
    <mergeCell ref="B1:AM3"/>
    <mergeCell ref="B40:F40"/>
    <mergeCell ref="B9:F9"/>
    <mergeCell ref="D34:F34"/>
    <mergeCell ref="B30:F30"/>
    <mergeCell ref="B33:C33"/>
    <mergeCell ref="B20:F20"/>
    <mergeCell ref="B5:C5"/>
    <mergeCell ref="AL34:AL35"/>
    <mergeCell ref="B36:F36"/>
    <mergeCell ref="AL15:AL16"/>
    <mergeCell ref="A6:A12"/>
    <mergeCell ref="AL6:AL7"/>
    <mergeCell ref="D6:F6"/>
    <mergeCell ref="B26:F26"/>
  </mergeCells>
  <conditionalFormatting sqref="G6:AK7">
    <cfRule type="expression" priority="15" dxfId="1" stopIfTrue="1">
      <formula>WEEKDAY(G6)=7</formula>
    </cfRule>
    <cfRule type="expression" priority="16" dxfId="0" stopIfTrue="1">
      <formula>WEEKDAY(G6)=1</formula>
    </cfRule>
  </conditionalFormatting>
  <conditionalFormatting sqref="G15:AK16">
    <cfRule type="expression" priority="11" dxfId="1" stopIfTrue="1">
      <formula>WEEKDAY(G15)=7</formula>
    </cfRule>
    <cfRule type="expression" priority="12" dxfId="0" stopIfTrue="1">
      <formula>WEEKDAY(G15)=1</formula>
    </cfRule>
  </conditionalFormatting>
  <conditionalFormatting sqref="G24:AK25">
    <cfRule type="expression" priority="7" dxfId="1" stopIfTrue="1">
      <formula>WEEKDAY(G24)=7</formula>
    </cfRule>
    <cfRule type="expression" priority="8" dxfId="0" stopIfTrue="1">
      <formula>WEEKDAY(G24)=1</formula>
    </cfRule>
  </conditionalFormatting>
  <conditionalFormatting sqref="G34:AK35">
    <cfRule type="expression" priority="3" dxfId="1" stopIfTrue="1">
      <formula>WEEKDAY(G34)=7</formula>
    </cfRule>
    <cfRule type="expression" priority="4" dxfId="0" stopIfTrue="1">
      <formula>WEEKDAY(G34)=1</formula>
    </cfRule>
  </conditionalFormatting>
  <conditionalFormatting sqref="AL6">
    <cfRule type="expression" priority="13" dxfId="1" stopIfTrue="1">
      <formula>WEEKDAY(AL6)=7</formula>
    </cfRule>
    <cfRule type="expression" priority="14" dxfId="0" stopIfTrue="1">
      <formula>WEEKDAY(AL6)=1</formula>
    </cfRule>
  </conditionalFormatting>
  <conditionalFormatting sqref="AL15">
    <cfRule type="expression" priority="9" dxfId="1" stopIfTrue="1">
      <formula>WEEKDAY(AL15)=7</formula>
    </cfRule>
    <cfRule type="expression" priority="10" dxfId="0" stopIfTrue="1">
      <formula>WEEKDAY(AL15)=1</formula>
    </cfRule>
  </conditionalFormatting>
  <conditionalFormatting sqref="AL24">
    <cfRule type="expression" priority="5" dxfId="1" stopIfTrue="1">
      <formula>WEEKDAY(AL24)=7</formula>
    </cfRule>
    <cfRule type="expression" priority="6" dxfId="0" stopIfTrue="1">
      <formula>WEEKDAY(AL24)=1</formula>
    </cfRule>
  </conditionalFormatting>
  <conditionalFormatting sqref="AL34">
    <cfRule type="expression" priority="1" dxfId="1" stopIfTrue="1">
      <formula>WEEKDAY(AL34)=7</formula>
    </cfRule>
    <cfRule type="expression" priority="2" dxfId="0" stopIfTrue="1">
      <formula>WEEKDAY(AL34)=1</formula>
    </cfRule>
  </conditionalFormatting>
  <printOptions horizontalCentered="1"/>
  <pageMargins left="0.17" right="0.17" top="0.17" bottom="0.17" header="0.17" footer="0.17"/>
  <pageSetup orientation="landscape" paperSize="9" scale="28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O40"/>
  <sheetViews>
    <sheetView showGridLines="0" view="pageBreakPreview" zoomScale="60" zoomScaleNormal="100" workbookViewId="0">
      <pane xSplit="6" ySplit="3" topLeftCell="G24" activePane="bottomRight" state="frozen"/>
      <selection pane="topRight" activeCell="G1" sqref="G1"/>
      <selection pane="bottomLeft" activeCell="A4" sqref="A4"/>
      <selection pane="bottomRight" activeCell="Q33" sqref="Q33"/>
    </sheetView>
  </sheetViews>
  <sheetFormatPr baseColWidth="8" defaultColWidth="9" defaultRowHeight="21"/>
  <cols>
    <col width="14.140625" customWidth="1" style="1" min="1" max="1"/>
    <col width="3.7109375" customWidth="1" style="1" min="2" max="2"/>
    <col width="7.5703125" customWidth="1" style="1" min="3" max="3"/>
    <col width="2.5703125" customWidth="1" style="1" min="4" max="4"/>
    <col width="9" customWidth="1" style="1" min="5" max="5"/>
    <col width="21.28515625" customWidth="1" style="1" min="6" max="6"/>
    <col width="10" customWidth="1" style="1" min="7" max="37"/>
    <col width="16" bestFit="1" customWidth="1" style="1" min="38" max="38"/>
    <col width="6" customWidth="1" style="1" min="39" max="39"/>
    <col width="25.140625" customWidth="1" style="2" min="40" max="40"/>
    <col width="16.85546875" customWidth="1" style="20" min="41" max="41"/>
    <col width="3.7109375" customWidth="1" style="127" min="255" max="257"/>
    <col width="2.5703125" customWidth="1" style="127" min="258" max="261"/>
    <col width="3.7109375" customWidth="1" style="127" min="262" max="264"/>
    <col width="4.42578125" customWidth="1" style="127" min="265" max="295"/>
    <col width="9" customWidth="1" style="127" min="296" max="296"/>
    <col width="3.7109375" customWidth="1" style="127" min="511" max="513"/>
    <col width="2.5703125" customWidth="1" style="127" min="514" max="517"/>
    <col width="3.7109375" customWidth="1" style="127" min="518" max="520"/>
    <col width="4.42578125" customWidth="1" style="127" min="521" max="551"/>
    <col width="9" customWidth="1" style="127" min="552" max="552"/>
    <col width="3.7109375" customWidth="1" style="127" min="767" max="769"/>
    <col width="2.5703125" customWidth="1" style="127" min="770" max="773"/>
    <col width="3.7109375" customWidth="1" style="127" min="774" max="776"/>
    <col width="4.42578125" customWidth="1" style="127" min="777" max="807"/>
    <col width="9" customWidth="1" style="127" min="808" max="808"/>
    <col width="3.7109375" customWidth="1" style="127" min="1023" max="1025"/>
    <col width="2.5703125" customWidth="1" style="127" min="1026" max="1029"/>
    <col width="3.7109375" customWidth="1" style="127" min="1030" max="1032"/>
    <col width="4.42578125" customWidth="1" style="127" min="1033" max="1063"/>
    <col width="9" customWidth="1" style="127" min="1064" max="1064"/>
    <col width="3.7109375" customWidth="1" style="127" min="1279" max="1281"/>
    <col width="2.5703125" customWidth="1" style="127" min="1282" max="1285"/>
    <col width="3.7109375" customWidth="1" style="127" min="1286" max="1288"/>
    <col width="4.42578125" customWidth="1" style="127" min="1289" max="1319"/>
    <col width="9" customWidth="1" style="127" min="1320" max="1320"/>
    <col width="3.7109375" customWidth="1" style="127" min="1535" max="1537"/>
    <col width="2.5703125" customWidth="1" style="127" min="1538" max="1541"/>
    <col width="3.7109375" customWidth="1" style="127" min="1542" max="1544"/>
    <col width="4.42578125" customWidth="1" style="127" min="1545" max="1575"/>
    <col width="9" customWidth="1" style="127" min="1576" max="1576"/>
    <col width="3.7109375" customWidth="1" style="127" min="1791" max="1793"/>
    <col width="2.5703125" customWidth="1" style="127" min="1794" max="1797"/>
    <col width="3.7109375" customWidth="1" style="127" min="1798" max="1800"/>
    <col width="4.42578125" customWidth="1" style="127" min="1801" max="1831"/>
    <col width="9" customWidth="1" style="127" min="1832" max="1832"/>
    <col width="3.7109375" customWidth="1" style="127" min="2047" max="2049"/>
    <col width="2.5703125" customWidth="1" style="127" min="2050" max="2053"/>
    <col width="3.7109375" customWidth="1" style="127" min="2054" max="2056"/>
    <col width="4.42578125" customWidth="1" style="127" min="2057" max="2087"/>
    <col width="9" customWidth="1" style="127" min="2088" max="2088"/>
    <col width="3.7109375" customWidth="1" style="127" min="2303" max="2305"/>
    <col width="2.5703125" customWidth="1" style="127" min="2306" max="2309"/>
    <col width="3.7109375" customWidth="1" style="127" min="2310" max="2312"/>
    <col width="4.42578125" customWidth="1" style="127" min="2313" max="2343"/>
    <col width="9" customWidth="1" style="127" min="2344" max="2344"/>
    <col width="3.7109375" customWidth="1" style="127" min="2559" max="2561"/>
    <col width="2.5703125" customWidth="1" style="127" min="2562" max="2565"/>
    <col width="3.7109375" customWidth="1" style="127" min="2566" max="2568"/>
    <col width="4.42578125" customWidth="1" style="127" min="2569" max="2599"/>
    <col width="9" customWidth="1" style="127" min="2600" max="2600"/>
    <col width="3.7109375" customWidth="1" style="127" min="2815" max="2817"/>
    <col width="2.5703125" customWidth="1" style="127" min="2818" max="2821"/>
    <col width="3.7109375" customWidth="1" style="127" min="2822" max="2824"/>
    <col width="4.42578125" customWidth="1" style="127" min="2825" max="2855"/>
    <col width="9" customWidth="1" style="127" min="2856" max="2856"/>
    <col width="3.7109375" customWidth="1" style="127" min="3071" max="3073"/>
    <col width="2.5703125" customWidth="1" style="127" min="3074" max="3077"/>
    <col width="3.7109375" customWidth="1" style="127" min="3078" max="3080"/>
    <col width="4.42578125" customWidth="1" style="127" min="3081" max="3111"/>
    <col width="9" customWidth="1" style="127" min="3112" max="3112"/>
    <col width="3.7109375" customWidth="1" style="127" min="3327" max="3329"/>
    <col width="2.5703125" customWidth="1" style="127" min="3330" max="3333"/>
    <col width="3.7109375" customWidth="1" style="127" min="3334" max="3336"/>
    <col width="4.42578125" customWidth="1" style="127" min="3337" max="3367"/>
    <col width="9" customWidth="1" style="127" min="3368" max="3368"/>
    <col width="3.7109375" customWidth="1" style="127" min="3583" max="3585"/>
    <col width="2.5703125" customWidth="1" style="127" min="3586" max="3589"/>
    <col width="3.7109375" customWidth="1" style="127" min="3590" max="3592"/>
    <col width="4.42578125" customWidth="1" style="127" min="3593" max="3623"/>
    <col width="9" customWidth="1" style="127" min="3624" max="3624"/>
    <col width="3.7109375" customWidth="1" style="127" min="3839" max="3841"/>
    <col width="2.5703125" customWidth="1" style="127" min="3842" max="3845"/>
    <col width="3.7109375" customWidth="1" style="127" min="3846" max="3848"/>
    <col width="4.42578125" customWidth="1" style="127" min="3849" max="3879"/>
    <col width="9" customWidth="1" style="127" min="3880" max="3880"/>
    <col width="3.7109375" customWidth="1" style="127" min="4095" max="4097"/>
    <col width="2.5703125" customWidth="1" style="127" min="4098" max="4101"/>
    <col width="3.7109375" customWidth="1" style="127" min="4102" max="4104"/>
    <col width="4.42578125" customWidth="1" style="127" min="4105" max="4135"/>
    <col width="9" customWidth="1" style="127" min="4136" max="4136"/>
    <col width="3.7109375" customWidth="1" style="127" min="4351" max="4353"/>
    <col width="2.5703125" customWidth="1" style="127" min="4354" max="4357"/>
    <col width="3.7109375" customWidth="1" style="127" min="4358" max="4360"/>
    <col width="4.42578125" customWidth="1" style="127" min="4361" max="4391"/>
    <col width="9" customWidth="1" style="127" min="4392" max="4392"/>
    <col width="3.7109375" customWidth="1" style="127" min="4607" max="4609"/>
    <col width="2.5703125" customWidth="1" style="127" min="4610" max="4613"/>
    <col width="3.7109375" customWidth="1" style="127" min="4614" max="4616"/>
    <col width="4.42578125" customWidth="1" style="127" min="4617" max="4647"/>
    <col width="9" customWidth="1" style="127" min="4648" max="4648"/>
    <col width="3.7109375" customWidth="1" style="127" min="4863" max="4865"/>
    <col width="2.5703125" customWidth="1" style="127" min="4866" max="4869"/>
    <col width="3.7109375" customWidth="1" style="127" min="4870" max="4872"/>
    <col width="4.42578125" customWidth="1" style="127" min="4873" max="4903"/>
    <col width="9" customWidth="1" style="127" min="4904" max="4904"/>
    <col width="3.7109375" customWidth="1" style="127" min="5119" max="5121"/>
    <col width="2.5703125" customWidth="1" style="127" min="5122" max="5125"/>
    <col width="3.7109375" customWidth="1" style="127" min="5126" max="5128"/>
    <col width="4.42578125" customWidth="1" style="127" min="5129" max="5159"/>
    <col width="9" customWidth="1" style="127" min="5160" max="5160"/>
    <col width="3.7109375" customWidth="1" style="127" min="5375" max="5377"/>
    <col width="2.5703125" customWidth="1" style="127" min="5378" max="5381"/>
    <col width="3.7109375" customWidth="1" style="127" min="5382" max="5384"/>
    <col width="4.42578125" customWidth="1" style="127" min="5385" max="5415"/>
    <col width="9" customWidth="1" style="127" min="5416" max="5416"/>
    <col width="3.7109375" customWidth="1" style="127" min="5631" max="5633"/>
    <col width="2.5703125" customWidth="1" style="127" min="5634" max="5637"/>
    <col width="3.7109375" customWidth="1" style="127" min="5638" max="5640"/>
    <col width="4.42578125" customWidth="1" style="127" min="5641" max="5671"/>
    <col width="9" customWidth="1" style="127" min="5672" max="5672"/>
    <col width="3.7109375" customWidth="1" style="127" min="5887" max="5889"/>
    <col width="2.5703125" customWidth="1" style="127" min="5890" max="5893"/>
    <col width="3.7109375" customWidth="1" style="127" min="5894" max="5896"/>
    <col width="4.42578125" customWidth="1" style="127" min="5897" max="5927"/>
    <col width="9" customWidth="1" style="127" min="5928" max="5928"/>
    <col width="3.7109375" customWidth="1" style="127" min="6143" max="6145"/>
    <col width="2.5703125" customWidth="1" style="127" min="6146" max="6149"/>
    <col width="3.7109375" customWidth="1" style="127" min="6150" max="6152"/>
    <col width="4.42578125" customWidth="1" style="127" min="6153" max="6183"/>
    <col width="9" customWidth="1" style="127" min="6184" max="6184"/>
    <col width="3.7109375" customWidth="1" style="127" min="6399" max="6401"/>
    <col width="2.5703125" customWidth="1" style="127" min="6402" max="6405"/>
    <col width="3.7109375" customWidth="1" style="127" min="6406" max="6408"/>
    <col width="4.42578125" customWidth="1" style="127" min="6409" max="6439"/>
    <col width="9" customWidth="1" style="127" min="6440" max="6440"/>
    <col width="3.7109375" customWidth="1" style="127" min="6655" max="6657"/>
    <col width="2.5703125" customWidth="1" style="127" min="6658" max="6661"/>
    <col width="3.7109375" customWidth="1" style="127" min="6662" max="6664"/>
    <col width="4.42578125" customWidth="1" style="127" min="6665" max="6695"/>
    <col width="9" customWidth="1" style="127" min="6696" max="6696"/>
    <col width="3.7109375" customWidth="1" style="127" min="6911" max="6913"/>
    <col width="2.5703125" customWidth="1" style="127" min="6914" max="6917"/>
    <col width="3.7109375" customWidth="1" style="127" min="6918" max="6920"/>
    <col width="4.42578125" customWidth="1" style="127" min="6921" max="6951"/>
    <col width="9" customWidth="1" style="127" min="6952" max="6952"/>
    <col width="3.7109375" customWidth="1" style="127" min="7167" max="7169"/>
    <col width="2.5703125" customWidth="1" style="127" min="7170" max="7173"/>
    <col width="3.7109375" customWidth="1" style="127" min="7174" max="7176"/>
    <col width="4.42578125" customWidth="1" style="127" min="7177" max="7207"/>
    <col width="9" customWidth="1" style="127" min="7208" max="7208"/>
    <col width="3.7109375" customWidth="1" style="127" min="7423" max="7425"/>
    <col width="2.5703125" customWidth="1" style="127" min="7426" max="7429"/>
    <col width="3.7109375" customWidth="1" style="127" min="7430" max="7432"/>
    <col width="4.42578125" customWidth="1" style="127" min="7433" max="7463"/>
    <col width="9" customWidth="1" style="127" min="7464" max="7464"/>
    <col width="3.7109375" customWidth="1" style="127" min="7679" max="7681"/>
    <col width="2.5703125" customWidth="1" style="127" min="7682" max="7685"/>
    <col width="3.7109375" customWidth="1" style="127" min="7686" max="7688"/>
    <col width="4.42578125" customWidth="1" style="127" min="7689" max="7719"/>
    <col width="9" customWidth="1" style="127" min="7720" max="7720"/>
    <col width="3.7109375" customWidth="1" style="127" min="7935" max="7937"/>
    <col width="2.5703125" customWidth="1" style="127" min="7938" max="7941"/>
    <col width="3.7109375" customWidth="1" style="127" min="7942" max="7944"/>
    <col width="4.42578125" customWidth="1" style="127" min="7945" max="7975"/>
    <col width="9" customWidth="1" style="127" min="7976" max="7976"/>
    <col width="3.7109375" customWidth="1" style="127" min="8191" max="8193"/>
    <col width="2.5703125" customWidth="1" style="127" min="8194" max="8197"/>
    <col width="3.7109375" customWidth="1" style="127" min="8198" max="8200"/>
    <col width="4.42578125" customWidth="1" style="127" min="8201" max="8231"/>
    <col width="9" customWidth="1" style="127" min="8232" max="8232"/>
    <col width="3.7109375" customWidth="1" style="127" min="8447" max="8449"/>
    <col width="2.5703125" customWidth="1" style="127" min="8450" max="8453"/>
    <col width="3.7109375" customWidth="1" style="127" min="8454" max="8456"/>
    <col width="4.42578125" customWidth="1" style="127" min="8457" max="8487"/>
    <col width="9" customWidth="1" style="127" min="8488" max="8488"/>
    <col width="3.7109375" customWidth="1" style="127" min="8703" max="8705"/>
    <col width="2.5703125" customWidth="1" style="127" min="8706" max="8709"/>
    <col width="3.7109375" customWidth="1" style="127" min="8710" max="8712"/>
    <col width="4.42578125" customWidth="1" style="127" min="8713" max="8743"/>
    <col width="9" customWidth="1" style="127" min="8744" max="8744"/>
    <col width="3.7109375" customWidth="1" style="127" min="8959" max="8961"/>
    <col width="2.5703125" customWidth="1" style="127" min="8962" max="8965"/>
    <col width="3.7109375" customWidth="1" style="127" min="8966" max="8968"/>
    <col width="4.42578125" customWidth="1" style="127" min="8969" max="8999"/>
    <col width="9" customWidth="1" style="127" min="9000" max="9000"/>
    <col width="3.7109375" customWidth="1" style="127" min="9215" max="9217"/>
    <col width="2.5703125" customWidth="1" style="127" min="9218" max="9221"/>
    <col width="3.7109375" customWidth="1" style="127" min="9222" max="9224"/>
    <col width="4.42578125" customWidth="1" style="127" min="9225" max="9255"/>
    <col width="9" customWidth="1" style="127" min="9256" max="9256"/>
    <col width="3.7109375" customWidth="1" style="127" min="9471" max="9473"/>
    <col width="2.5703125" customWidth="1" style="127" min="9474" max="9477"/>
    <col width="3.7109375" customWidth="1" style="127" min="9478" max="9480"/>
    <col width="4.42578125" customWidth="1" style="127" min="9481" max="9511"/>
    <col width="9" customWidth="1" style="127" min="9512" max="9512"/>
    <col width="3.7109375" customWidth="1" style="127" min="9727" max="9729"/>
    <col width="2.5703125" customWidth="1" style="127" min="9730" max="9733"/>
    <col width="3.7109375" customWidth="1" style="127" min="9734" max="9736"/>
    <col width="4.42578125" customWidth="1" style="127" min="9737" max="9767"/>
    <col width="9" customWidth="1" style="127" min="9768" max="9768"/>
    <col width="3.7109375" customWidth="1" style="127" min="9983" max="9985"/>
    <col width="2.5703125" customWidth="1" style="127" min="9986" max="9989"/>
    <col width="3.7109375" customWidth="1" style="127" min="9990" max="9992"/>
    <col width="4.42578125" customWidth="1" style="127" min="9993" max="10023"/>
    <col width="9" customWidth="1" style="127" min="10024" max="10024"/>
    <col width="3.7109375" customWidth="1" style="127" min="10239" max="10241"/>
    <col width="2.5703125" customWidth="1" style="127" min="10242" max="10245"/>
    <col width="3.7109375" customWidth="1" style="127" min="10246" max="10248"/>
    <col width="4.42578125" customWidth="1" style="127" min="10249" max="10279"/>
    <col width="9" customWidth="1" style="127" min="10280" max="10280"/>
    <col width="3.7109375" customWidth="1" style="127" min="10495" max="10497"/>
    <col width="2.5703125" customWidth="1" style="127" min="10498" max="10501"/>
    <col width="3.7109375" customWidth="1" style="127" min="10502" max="10504"/>
    <col width="4.42578125" customWidth="1" style="127" min="10505" max="10535"/>
    <col width="9" customWidth="1" style="127" min="10536" max="10536"/>
    <col width="3.7109375" customWidth="1" style="127" min="10751" max="10753"/>
    <col width="2.5703125" customWidth="1" style="127" min="10754" max="10757"/>
    <col width="3.7109375" customWidth="1" style="127" min="10758" max="10760"/>
    <col width="4.42578125" customWidth="1" style="127" min="10761" max="10791"/>
    <col width="9" customWidth="1" style="127" min="10792" max="10792"/>
    <col width="3.7109375" customWidth="1" style="127" min="11007" max="11009"/>
    <col width="2.5703125" customWidth="1" style="127" min="11010" max="11013"/>
    <col width="3.7109375" customWidth="1" style="127" min="11014" max="11016"/>
    <col width="4.42578125" customWidth="1" style="127" min="11017" max="11047"/>
    <col width="9" customWidth="1" style="127" min="11048" max="11048"/>
    <col width="3.7109375" customWidth="1" style="127" min="11263" max="11265"/>
    <col width="2.5703125" customWidth="1" style="127" min="11266" max="11269"/>
    <col width="3.7109375" customWidth="1" style="127" min="11270" max="11272"/>
    <col width="4.42578125" customWidth="1" style="127" min="11273" max="11303"/>
    <col width="9" customWidth="1" style="127" min="11304" max="11304"/>
    <col width="3.7109375" customWidth="1" style="127" min="11519" max="11521"/>
    <col width="2.5703125" customWidth="1" style="127" min="11522" max="11525"/>
    <col width="3.7109375" customWidth="1" style="127" min="11526" max="11528"/>
    <col width="4.42578125" customWidth="1" style="127" min="11529" max="11559"/>
    <col width="9" customWidth="1" style="127" min="11560" max="11560"/>
    <col width="3.7109375" customWidth="1" style="127" min="11775" max="11777"/>
    <col width="2.5703125" customWidth="1" style="127" min="11778" max="11781"/>
    <col width="3.7109375" customWidth="1" style="127" min="11782" max="11784"/>
    <col width="4.42578125" customWidth="1" style="127" min="11785" max="11815"/>
    <col width="9" customWidth="1" style="127" min="11816" max="11816"/>
    <col width="3.7109375" customWidth="1" style="127" min="12031" max="12033"/>
    <col width="2.5703125" customWidth="1" style="127" min="12034" max="12037"/>
    <col width="3.7109375" customWidth="1" style="127" min="12038" max="12040"/>
    <col width="4.42578125" customWidth="1" style="127" min="12041" max="12071"/>
    <col width="9" customWidth="1" style="127" min="12072" max="12072"/>
    <col width="3.7109375" customWidth="1" style="127" min="12287" max="12289"/>
    <col width="2.5703125" customWidth="1" style="127" min="12290" max="12293"/>
    <col width="3.7109375" customWidth="1" style="127" min="12294" max="12296"/>
    <col width="4.42578125" customWidth="1" style="127" min="12297" max="12327"/>
    <col width="9" customWidth="1" style="127" min="12328" max="12328"/>
    <col width="3.7109375" customWidth="1" style="127" min="12543" max="12545"/>
    <col width="2.5703125" customWidth="1" style="127" min="12546" max="12549"/>
    <col width="3.7109375" customWidth="1" style="127" min="12550" max="12552"/>
    <col width="4.42578125" customWidth="1" style="127" min="12553" max="12583"/>
    <col width="9" customWidth="1" style="127" min="12584" max="12584"/>
    <col width="3.7109375" customWidth="1" style="127" min="12799" max="12801"/>
    <col width="2.5703125" customWidth="1" style="127" min="12802" max="12805"/>
    <col width="3.7109375" customWidth="1" style="127" min="12806" max="12808"/>
    <col width="4.42578125" customWidth="1" style="127" min="12809" max="12839"/>
    <col width="9" customWidth="1" style="127" min="12840" max="12840"/>
    <col width="3.7109375" customWidth="1" style="127" min="13055" max="13057"/>
    <col width="2.5703125" customWidth="1" style="127" min="13058" max="13061"/>
    <col width="3.7109375" customWidth="1" style="127" min="13062" max="13064"/>
    <col width="4.42578125" customWidth="1" style="127" min="13065" max="13095"/>
    <col width="9" customWidth="1" style="127" min="13096" max="13096"/>
    <col width="3.7109375" customWidth="1" style="127" min="13311" max="13313"/>
    <col width="2.5703125" customWidth="1" style="127" min="13314" max="13317"/>
    <col width="3.7109375" customWidth="1" style="127" min="13318" max="13320"/>
    <col width="4.42578125" customWidth="1" style="127" min="13321" max="13351"/>
    <col width="9" customWidth="1" style="127" min="13352" max="13352"/>
    <col width="3.7109375" customWidth="1" style="127" min="13567" max="13569"/>
    <col width="2.5703125" customWidth="1" style="127" min="13570" max="13573"/>
    <col width="3.7109375" customWidth="1" style="127" min="13574" max="13576"/>
    <col width="4.42578125" customWidth="1" style="127" min="13577" max="13607"/>
    <col width="9" customWidth="1" style="127" min="13608" max="13608"/>
    <col width="3.7109375" customWidth="1" style="127" min="13823" max="13825"/>
    <col width="2.5703125" customWidth="1" style="127" min="13826" max="13829"/>
    <col width="3.7109375" customWidth="1" style="127" min="13830" max="13832"/>
    <col width="4.42578125" customWidth="1" style="127" min="13833" max="13863"/>
    <col width="9" customWidth="1" style="127" min="13864" max="13864"/>
    <col width="3.7109375" customWidth="1" style="127" min="14079" max="14081"/>
    <col width="2.5703125" customWidth="1" style="127" min="14082" max="14085"/>
    <col width="3.7109375" customWidth="1" style="127" min="14086" max="14088"/>
    <col width="4.42578125" customWidth="1" style="127" min="14089" max="14119"/>
    <col width="9" customWidth="1" style="127" min="14120" max="14120"/>
    <col width="3.7109375" customWidth="1" style="127" min="14335" max="14337"/>
    <col width="2.5703125" customWidth="1" style="127" min="14338" max="14341"/>
    <col width="3.7109375" customWidth="1" style="127" min="14342" max="14344"/>
    <col width="4.42578125" customWidth="1" style="127" min="14345" max="14375"/>
    <col width="9" customWidth="1" style="127" min="14376" max="14376"/>
    <col width="3.7109375" customWidth="1" style="127" min="14591" max="14593"/>
    <col width="2.5703125" customWidth="1" style="127" min="14594" max="14597"/>
    <col width="3.7109375" customWidth="1" style="127" min="14598" max="14600"/>
    <col width="4.42578125" customWidth="1" style="127" min="14601" max="14631"/>
    <col width="9" customWidth="1" style="127" min="14632" max="14632"/>
    <col width="3.7109375" customWidth="1" style="127" min="14847" max="14849"/>
    <col width="2.5703125" customWidth="1" style="127" min="14850" max="14853"/>
    <col width="3.7109375" customWidth="1" style="127" min="14854" max="14856"/>
    <col width="4.42578125" customWidth="1" style="127" min="14857" max="14887"/>
    <col width="9" customWidth="1" style="127" min="14888" max="14888"/>
    <col width="3.7109375" customWidth="1" style="127" min="15103" max="15105"/>
    <col width="2.5703125" customWidth="1" style="127" min="15106" max="15109"/>
    <col width="3.7109375" customWidth="1" style="127" min="15110" max="15112"/>
    <col width="4.42578125" customWidth="1" style="127" min="15113" max="15143"/>
    <col width="9" customWidth="1" style="127" min="15144" max="15144"/>
    <col width="3.7109375" customWidth="1" style="127" min="15359" max="15361"/>
    <col width="2.5703125" customWidth="1" style="127" min="15362" max="15365"/>
    <col width="3.7109375" customWidth="1" style="127" min="15366" max="15368"/>
    <col width="4.42578125" customWidth="1" style="127" min="15369" max="15399"/>
    <col width="9" customWidth="1" style="127" min="15400" max="15400"/>
    <col width="3.7109375" customWidth="1" style="127" min="15615" max="15617"/>
    <col width="2.5703125" customWidth="1" style="127" min="15618" max="15621"/>
    <col width="3.7109375" customWidth="1" style="127" min="15622" max="15624"/>
    <col width="4.42578125" customWidth="1" style="127" min="15625" max="15655"/>
    <col width="9" customWidth="1" style="127" min="15656" max="15656"/>
    <col width="3.7109375" customWidth="1" style="127" min="15871" max="15873"/>
    <col width="2.5703125" customWidth="1" style="127" min="15874" max="15877"/>
    <col width="3.7109375" customWidth="1" style="127" min="15878" max="15880"/>
    <col width="4.42578125" customWidth="1" style="127" min="15881" max="15911"/>
    <col width="9" customWidth="1" style="127" min="15912" max="15912"/>
    <col width="3.7109375" customWidth="1" style="127" min="16127" max="16129"/>
    <col width="2.5703125" customWidth="1" style="127" min="16130" max="16133"/>
    <col width="3.7109375" customWidth="1" style="127" min="16134" max="16136"/>
    <col width="4.42578125" customWidth="1" style="127" min="16137" max="16167"/>
    <col width="9" customWidth="1" style="127" min="16168" max="16168"/>
  </cols>
  <sheetData>
    <row r="1" ht="30.75" customHeight="1" s="127">
      <c r="A1" s="10" t="n"/>
      <c r="B1" s="100" t="inlineStr">
        <is>
          <t>LỊCH GIAO HÀNG DO SUNG
DO SUNG会社の納品スケジュール</t>
        </is>
      </c>
    </row>
    <row r="2" ht="55.5" customHeight="1" s="127">
      <c r="A2" s="10" t="n"/>
    </row>
    <row r="3" ht="30.75" customHeight="1" s="127">
      <c r="A3" s="7" t="n"/>
    </row>
    <row r="4" ht="30.75" customHeight="1" s="127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101" t="n"/>
      <c r="AL4" s="7" t="n"/>
      <c r="AM4" s="7" t="n"/>
    </row>
    <row r="5" ht="21" customHeight="1" s="127" thickBot="1">
      <c r="B5" s="85" t="n">
        <v>2026</v>
      </c>
      <c r="D5" s="85" t="inlineStr">
        <is>
          <t>年</t>
        </is>
      </c>
      <c r="E5" s="85" t="n">
        <v>2</v>
      </c>
      <c r="F5" s="29" t="inlineStr">
        <is>
          <t>月</t>
        </is>
      </c>
      <c r="G5" s="8" t="n"/>
      <c r="H5" s="3" t="n"/>
      <c r="I5" s="3" t="n"/>
      <c r="J5" s="5" t="n"/>
      <c r="K5" s="5" t="n"/>
      <c r="L5" s="5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7" t="n"/>
    </row>
    <row r="6" ht="20.25" customFormat="1" customHeight="1" s="11">
      <c r="A6" s="173" t="inlineStr">
        <is>
          <t>mda0019 Thân khóa tay cầm (không khóa) ンドルロック本体 (キー無し)</t>
        </is>
      </c>
      <c r="B6" s="106" t="inlineStr">
        <is>
          <t>輸送</t>
        </is>
      </c>
      <c r="C6" s="129" t="n"/>
      <c r="D6" s="107" t="inlineStr">
        <is>
          <t>日</t>
        </is>
      </c>
      <c r="E6" s="130" t="n"/>
      <c r="F6" s="131" t="n"/>
      <c r="G6" s="132">
        <f>DATE(B5,E5,1)</f>
        <v/>
      </c>
      <c r="H6" s="132">
        <f>IF(G6="","",IF(DAY(G6+1)=1,"",G6+1))</f>
        <v/>
      </c>
      <c r="I6" s="132">
        <f>IF(H6="","",IF(DAY(H6+1)=1,"",H6+1))</f>
        <v/>
      </c>
      <c r="J6" s="132">
        <f>IF(I6="","",IF(DAY(I6+1)=1,"",I6+1))</f>
        <v/>
      </c>
      <c r="K6" s="132">
        <f>IF(J6="","",IF(DAY(J6+1)=1,"",J6+1))</f>
        <v/>
      </c>
      <c r="L6" s="132">
        <f>IF(K6="","",IF(DAY(K6+1)=1,"",K6+1))</f>
        <v/>
      </c>
      <c r="M6" s="132">
        <f>IF(L6="","",IF(DAY(L6+1)=1,"",L6+1))</f>
        <v/>
      </c>
      <c r="N6" s="132">
        <f>IF(M6="","",IF(DAY(M6+1)=1,"",M6+1))</f>
        <v/>
      </c>
      <c r="O6" s="132">
        <f>IF(N6="","",IF(DAY(N6+1)=1,"",N6+1))</f>
        <v/>
      </c>
      <c r="P6" s="132">
        <f>IF(O6="","",IF(DAY(O6+1)=1,"",O6+1))</f>
        <v/>
      </c>
      <c r="Q6" s="132">
        <f>IF(P6="","",IF(DAY(P6+1)=1,"",P6+1))</f>
        <v/>
      </c>
      <c r="R6" s="132">
        <f>IF(Q6="","",IF(DAY(Q6+1)=1,"",Q6+1))</f>
        <v/>
      </c>
      <c r="S6" s="132">
        <f>IF(R6="","",IF(DAY(R6+1)=1,"",R6+1))</f>
        <v/>
      </c>
      <c r="T6" s="132">
        <f>IF(S6="","",IF(DAY(S6+1)=1,"",S6+1))</f>
        <v/>
      </c>
      <c r="U6" s="132">
        <f>IF(T6="","",IF(DAY(T6+1)=1,"",T6+1))</f>
        <v/>
      </c>
      <c r="V6" s="132">
        <f>IF(U6="","",IF(DAY(U6+1)=1,"",U6+1))</f>
        <v/>
      </c>
      <c r="W6" s="132">
        <f>IF(V6="","",IF(DAY(V6+1)=1,"",V6+1))</f>
        <v/>
      </c>
      <c r="X6" s="132">
        <f>IF(W6="","",IF(DAY(W6+1)=1,"",W6+1))</f>
        <v/>
      </c>
      <c r="Y6" s="132">
        <f>IF(X6="","",IF(DAY(X6+1)=1,"",X6+1))</f>
        <v/>
      </c>
      <c r="Z6" s="132">
        <f>IF(Y6="","",IF(DAY(Y6+1)=1,"",Y6+1))</f>
        <v/>
      </c>
      <c r="AA6" s="132">
        <f>IF(Z6="","",IF(DAY(Z6+1)=1,"",Z6+1))</f>
        <v/>
      </c>
      <c r="AB6" s="132">
        <f>IF(AA6="","",IF(DAY(AA6+1)=1,"",AA6+1))</f>
        <v/>
      </c>
      <c r="AC6" s="132">
        <f>IF(AB6="","",IF(DAY(AB6+1)=1,"",AB6+1))</f>
        <v/>
      </c>
      <c r="AD6" s="132">
        <f>IF(AC6="","",IF(DAY(AC6+1)=1,"",AC6+1))</f>
        <v/>
      </c>
      <c r="AE6" s="132">
        <f>IF(AD6="","",IF(DAY(AD6+1)=1,"",AD6+1))</f>
        <v/>
      </c>
      <c r="AF6" s="132">
        <f>IF(AE6="","",IF(DAY(AE6+1)=1,"",AE6+1))</f>
        <v/>
      </c>
      <c r="AG6" s="132">
        <f>IF(AF6="","",IF(DAY(AF6+1)=1,"",AF6+1))</f>
        <v/>
      </c>
      <c r="AH6" s="132">
        <f>IF(AG6="","",IF(DAY(AG6+1)=1,"",AG6+1))</f>
        <v/>
      </c>
      <c r="AI6" s="132">
        <f>IF(AH6="","",IF(DAY(AH6+1)=1,"",AH6+1))</f>
        <v/>
      </c>
      <c r="AJ6" s="132">
        <f>IF(AI6="","",IF(DAY(AI6+1)=1,"",AI6+1))</f>
        <v/>
      </c>
      <c r="AK6" s="132">
        <f>IF(AJ6="","",IF(DAY(AJ6+1)=1,"",AJ6+1))</f>
        <v/>
      </c>
      <c r="AL6" s="133" t="inlineStr">
        <is>
          <t>Total</t>
        </is>
      </c>
      <c r="AM6" s="7" t="n"/>
      <c r="AN6" s="21" t="n"/>
      <c r="AO6" s="20" t="n"/>
    </row>
    <row r="7" ht="20.25" customFormat="1" customHeight="1" s="11">
      <c r="A7" s="134" t="n"/>
      <c r="B7" s="135" t="n"/>
      <c r="C7" s="136" t="n"/>
      <c r="D7" s="102" t="inlineStr">
        <is>
          <t>時間</t>
        </is>
      </c>
      <c r="E7" s="137" t="n"/>
      <c r="F7" s="138" t="n"/>
      <c r="G7" s="139">
        <f>+G6</f>
        <v/>
      </c>
      <c r="H7" s="139">
        <f>+H6</f>
        <v/>
      </c>
      <c r="I7" s="139">
        <f>+I6</f>
        <v/>
      </c>
      <c r="J7" s="139">
        <f>+J6</f>
        <v/>
      </c>
      <c r="K7" s="139">
        <f>+K6</f>
        <v/>
      </c>
      <c r="L7" s="139">
        <f>+L6</f>
        <v/>
      </c>
      <c r="M7" s="139">
        <f>+M6</f>
        <v/>
      </c>
      <c r="N7" s="139">
        <f>+N6</f>
        <v/>
      </c>
      <c r="O7" s="139">
        <f>+O6</f>
        <v/>
      </c>
      <c r="P7" s="139">
        <f>+P6</f>
        <v/>
      </c>
      <c r="Q7" s="139">
        <f>+Q6</f>
        <v/>
      </c>
      <c r="R7" s="139">
        <f>+R6</f>
        <v/>
      </c>
      <c r="S7" s="139">
        <f>+S6</f>
        <v/>
      </c>
      <c r="T7" s="139">
        <f>+T6</f>
        <v/>
      </c>
      <c r="U7" s="139">
        <f>+U6</f>
        <v/>
      </c>
      <c r="V7" s="139">
        <f>+V6</f>
        <v/>
      </c>
      <c r="W7" s="139">
        <f>+W6</f>
        <v/>
      </c>
      <c r="X7" s="139">
        <f>+X6</f>
        <v/>
      </c>
      <c r="Y7" s="139">
        <f>+Y6</f>
        <v/>
      </c>
      <c r="Z7" s="139">
        <f>+Z6</f>
        <v/>
      </c>
      <c r="AA7" s="139">
        <f>+AA6</f>
        <v/>
      </c>
      <c r="AB7" s="139">
        <f>+AB6</f>
        <v/>
      </c>
      <c r="AC7" s="139">
        <f>+AC6</f>
        <v/>
      </c>
      <c r="AD7" s="139">
        <f>+AD6</f>
        <v/>
      </c>
      <c r="AE7" s="139">
        <f>+AE6</f>
        <v/>
      </c>
      <c r="AF7" s="139">
        <f>+AF6</f>
        <v/>
      </c>
      <c r="AG7" s="139">
        <f>+AG6</f>
        <v/>
      </c>
      <c r="AH7" s="139">
        <f>+AH6</f>
        <v/>
      </c>
      <c r="AI7" s="139">
        <f>+AI6</f>
        <v/>
      </c>
      <c r="AJ7" s="139">
        <f>+AJ6</f>
        <v/>
      </c>
      <c r="AK7" s="139">
        <f>+AK6</f>
        <v/>
      </c>
      <c r="AL7" s="140" t="n"/>
      <c r="AN7" s="21" t="n"/>
      <c r="AO7" s="20" t="n"/>
    </row>
    <row r="8" ht="56.25" customFormat="1" customHeight="1" s="11">
      <c r="A8" s="134" t="n"/>
      <c r="B8" s="174" t="inlineStr">
        <is>
          <t>PO 注文書</t>
        </is>
      </c>
      <c r="C8" s="142" t="n"/>
      <c r="D8" s="142" t="n"/>
      <c r="E8" s="142" t="n"/>
      <c r="F8" s="143" t="n"/>
      <c r="G8" s="144" t="n"/>
      <c r="H8" s="145" t="n"/>
      <c r="I8" s="144" t="n"/>
      <c r="J8" s="145" t="n"/>
      <c r="K8" s="145" t="n"/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/>
      <c r="U8" s="145" t="n"/>
      <c r="V8" s="145" t="n"/>
      <c r="W8" s="145" t="n"/>
      <c r="X8" s="145" t="n"/>
      <c r="Y8" s="145" t="n"/>
      <c r="Z8" s="145" t="n"/>
      <c r="AA8" s="145" t="n"/>
      <c r="AB8" s="145" t="n"/>
      <c r="AC8" s="145" t="n"/>
      <c r="AD8" s="145" t="n"/>
      <c r="AE8" s="145" t="n"/>
      <c r="AF8" s="145" t="n"/>
      <c r="AG8" s="145" t="n"/>
      <c r="AH8" s="145" t="n"/>
      <c r="AI8" s="145" t="n"/>
      <c r="AJ8" s="145" t="n"/>
      <c r="AK8" s="145" t="n"/>
      <c r="AL8" s="146">
        <f>SUM(G8:AK8)</f>
        <v/>
      </c>
      <c r="AN8" s="147" t="inlineStr">
        <is>
          <t>Tồn PO
注文の 残量</t>
        </is>
      </c>
      <c r="AO8" s="148" t="n"/>
    </row>
    <row r="9" ht="56.25" customHeight="1" s="127">
      <c r="A9" s="134" t="n"/>
      <c r="B9" s="111" t="inlineStr">
        <is>
          <t xml:space="preserve">計画数量
kế hoạch </t>
        </is>
      </c>
      <c r="C9" s="149" t="n"/>
      <c r="D9" s="149" t="n"/>
      <c r="E9" s="149" t="n"/>
      <c r="F9" s="150" t="n"/>
      <c r="G9" s="144" t="n"/>
      <c r="H9" s="144" t="n"/>
      <c r="I9" s="144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  <c r="AA9" s="145" t="n"/>
      <c r="AB9" s="145" t="n"/>
      <c r="AC9" s="145" t="n"/>
      <c r="AD9" s="145" t="n"/>
      <c r="AE9" s="145" t="n"/>
      <c r="AF9" s="145" t="n"/>
      <c r="AG9" s="145" t="n"/>
      <c r="AH9" s="145" t="n"/>
      <c r="AI9" s="145" t="n"/>
      <c r="AJ9" s="145" t="n"/>
      <c r="AK9" s="145" t="n"/>
      <c r="AL9" s="151">
        <f>SUM(G9:AK9)</f>
        <v/>
      </c>
      <c r="AM9" s="0" t="n"/>
      <c r="AN9" s="24" t="inlineStr">
        <is>
          <t>Tổng nhập 総入荷数量
（A)-(B)+(C)</t>
        </is>
      </c>
      <c r="AO9" s="152">
        <f>AL10-AL11+AL12</f>
        <v/>
      </c>
    </row>
    <row r="10" ht="56.25" customHeight="1" s="127">
      <c r="A10" s="134" t="n"/>
      <c r="B10" s="111" t="inlineStr">
        <is>
          <t>実際の納品数量
số lượng thực nhập</t>
        </is>
      </c>
      <c r="C10" s="149" t="n"/>
      <c r="D10" s="149" t="n"/>
      <c r="E10" s="149" t="n"/>
      <c r="F10" s="150" t="n"/>
      <c r="G10" s="153" t="n"/>
      <c r="H10" s="153" t="n"/>
      <c r="I10" s="154" t="n"/>
      <c r="J10" s="155" t="n"/>
      <c r="K10" s="156" t="n"/>
      <c r="L10" s="156" t="n"/>
      <c r="M10" s="155" t="n"/>
      <c r="N10" s="155" t="n"/>
      <c r="O10" s="155" t="n"/>
      <c r="P10" s="155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5" t="n"/>
      <c r="AD10" s="155" t="n"/>
      <c r="AE10" s="156" t="n"/>
      <c r="AF10" s="156" t="n"/>
      <c r="AG10" s="155" t="n">
        <v>50</v>
      </c>
      <c r="AH10" s="155" t="n"/>
      <c r="AI10" s="156" t="n"/>
      <c r="AJ10" s="156" t="n"/>
      <c r="AK10" s="156" t="n"/>
      <c r="AL10" s="157">
        <f>SUM(G10:AK10)</f>
        <v/>
      </c>
      <c r="AM10" s="6" t="inlineStr">
        <is>
          <t>(A)</t>
        </is>
      </c>
      <c r="AN10" s="24" t="inlineStr">
        <is>
          <t>Số lượng chưa khai tháng trước 先月まだ税関に申告されていない数量</t>
        </is>
      </c>
      <c r="AO10" s="148" t="n"/>
    </row>
    <row r="11" ht="56.25" customHeight="1" s="127">
      <c r="A11" s="134" t="n"/>
      <c r="B11" s="111" t="inlineStr">
        <is>
          <t>NG数量（DO SUNG 社変更済）
số lượng NG (Trả hàng DO SUNG)</t>
        </is>
      </c>
      <c r="C11" s="149" t="n"/>
      <c r="D11" s="149" t="n"/>
      <c r="E11" s="149" t="n"/>
      <c r="F11" s="150" t="n"/>
      <c r="G11" s="144" t="n"/>
      <c r="H11" s="144" t="n"/>
      <c r="I11" s="144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  <c r="AC11" s="145" t="n"/>
      <c r="AD11" s="145" t="n"/>
      <c r="AE11" s="145" t="n"/>
      <c r="AF11" s="145" t="n"/>
      <c r="AG11" s="145" t="n"/>
      <c r="AH11" s="145" t="n"/>
      <c r="AI11" s="145" t="n"/>
      <c r="AJ11" s="145" t="n"/>
      <c r="AK11" s="145" t="n"/>
      <c r="AL11" s="158">
        <f>SUM(G11:AK11)</f>
        <v/>
      </c>
      <c r="AM11" s="6" t="inlineStr">
        <is>
          <t>(B)</t>
        </is>
      </c>
      <c r="AN11" s="24" t="inlineStr">
        <is>
          <t>Số lượng đã khai tháng này 今月税関に申告された数量</t>
        </is>
      </c>
      <c r="AO11" s="26" t="n"/>
    </row>
    <row r="12" ht="56.25" customHeight="1" s="127" thickBot="1">
      <c r="A12" s="159" t="n"/>
      <c r="B12" s="109" t="inlineStr">
        <is>
          <t>NG数量（ドンスン　社しゅり済）
số lượng NG (DO SUNG đã sửa )</t>
        </is>
      </c>
      <c r="C12" s="160" t="n"/>
      <c r="D12" s="160" t="n"/>
      <c r="E12" s="160" t="n"/>
      <c r="F12" s="161" t="n"/>
      <c r="G12" s="162" t="n"/>
      <c r="H12" s="162" t="n"/>
      <c r="I12" s="163" t="n"/>
      <c r="J12" s="164" t="n"/>
      <c r="K12" s="165" t="n"/>
      <c r="L12" s="164" t="n"/>
      <c r="M12" s="164" t="n"/>
      <c r="N12" s="164" t="n"/>
      <c r="O12" s="164" t="n"/>
      <c r="P12" s="164" t="n"/>
      <c r="Q12" s="164" t="n"/>
      <c r="R12" s="165" t="n"/>
      <c r="S12" s="164" t="n"/>
      <c r="T12" s="164" t="n"/>
      <c r="U12" s="164" t="n"/>
      <c r="V12" s="164" t="n"/>
      <c r="W12" s="164" t="n"/>
      <c r="X12" s="164" t="n"/>
      <c r="Y12" s="165" t="n"/>
      <c r="Z12" s="164" t="n"/>
      <c r="AA12" s="164" t="n"/>
      <c r="AB12" s="164" t="n"/>
      <c r="AC12" s="164" t="n"/>
      <c r="AD12" s="164" t="n"/>
      <c r="AE12" s="165" t="n"/>
      <c r="AF12" s="165" t="n"/>
      <c r="AG12" s="164" t="n"/>
      <c r="AH12" s="164" t="n"/>
      <c r="AI12" s="164" t="n"/>
      <c r="AJ12" s="165" t="n"/>
      <c r="AK12" s="165" t="n"/>
      <c r="AL12" s="166">
        <f>SUM(G12:AK12)</f>
        <v/>
      </c>
      <c r="AM12" s="6" t="inlineStr">
        <is>
          <t>(C)</t>
        </is>
      </c>
      <c r="AN12" s="24" t="inlineStr">
        <is>
          <t>Số lượng còn lại chưa khai 残りの数量はまだ税関に申告されていません</t>
        </is>
      </c>
      <c r="AO12" s="148">
        <f>AO10+AO9-AO11</f>
        <v/>
      </c>
    </row>
    <row r="14" ht="21" customHeight="1" s="127" thickBot="1">
      <c r="B14" s="85" t="n">
        <v>2026</v>
      </c>
      <c r="D14" s="85" t="inlineStr">
        <is>
          <t>年</t>
        </is>
      </c>
      <c r="E14" s="85" t="n">
        <v>3</v>
      </c>
      <c r="F14" s="29" t="inlineStr">
        <is>
          <t>月</t>
        </is>
      </c>
      <c r="G14" s="8" t="n"/>
      <c r="H14" s="3" t="n"/>
      <c r="I14" s="3" t="n"/>
      <c r="J14" s="5" t="n"/>
      <c r="K14" s="5" t="n"/>
      <c r="L14" s="5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7" t="n"/>
    </row>
    <row r="15" ht="20.25" customFormat="1" customHeight="1" s="11">
      <c r="A15" s="173" t="inlineStr">
        <is>
          <t>mda0019 Thân khóa tay cầm (không khóa) ンドルロック本体 (キー無し)</t>
        </is>
      </c>
      <c r="B15" s="106" t="inlineStr">
        <is>
          <t>輸送</t>
        </is>
      </c>
      <c r="C15" s="129" t="n"/>
      <c r="D15" s="107" t="inlineStr">
        <is>
          <t>日</t>
        </is>
      </c>
      <c r="E15" s="130" t="n"/>
      <c r="F15" s="131" t="n"/>
      <c r="G15" s="132">
        <f>DATE(B14,E14,1)</f>
        <v/>
      </c>
      <c r="H15" s="132">
        <f>IF(G15="","",IF(DAY(G15+1)=1,"",G15+1))</f>
        <v/>
      </c>
      <c r="I15" s="132">
        <f>IF(H15="","",IF(DAY(H15+1)=1,"",H15+1))</f>
        <v/>
      </c>
      <c r="J15" s="132">
        <f>IF(I15="","",IF(DAY(I15+1)=1,"",I15+1))</f>
        <v/>
      </c>
      <c r="K15" s="132">
        <f>IF(J15="","",IF(DAY(J15+1)=1,"",J15+1))</f>
        <v/>
      </c>
      <c r="L15" s="132">
        <f>IF(K15="","",IF(DAY(K15+1)=1,"",K15+1))</f>
        <v/>
      </c>
      <c r="M15" s="132">
        <f>IF(L15="","",IF(DAY(L15+1)=1,"",L15+1))</f>
        <v/>
      </c>
      <c r="N15" s="132">
        <f>IF(M15="","",IF(DAY(M15+1)=1,"",M15+1))</f>
        <v/>
      </c>
      <c r="O15" s="132">
        <f>IF(N15="","",IF(DAY(N15+1)=1,"",N15+1))</f>
        <v/>
      </c>
      <c r="P15" s="132">
        <f>IF(O15="","",IF(DAY(O15+1)=1,"",O15+1))</f>
        <v/>
      </c>
      <c r="Q15" s="132">
        <f>IF(P15="","",IF(DAY(P15+1)=1,"",P15+1))</f>
        <v/>
      </c>
      <c r="R15" s="132">
        <f>IF(Q15="","",IF(DAY(Q15+1)=1,"",Q15+1))</f>
        <v/>
      </c>
      <c r="S15" s="132">
        <f>IF(R15="","",IF(DAY(R15+1)=1,"",R15+1))</f>
        <v/>
      </c>
      <c r="T15" s="132">
        <f>IF(S15="","",IF(DAY(S15+1)=1,"",S15+1))</f>
        <v/>
      </c>
      <c r="U15" s="132">
        <f>IF(T15="","",IF(DAY(T15+1)=1,"",T15+1))</f>
        <v/>
      </c>
      <c r="V15" s="132">
        <f>IF(U15="","",IF(DAY(U15+1)=1,"",U15+1))</f>
        <v/>
      </c>
      <c r="W15" s="132">
        <f>IF(V15="","",IF(DAY(V15+1)=1,"",V15+1))</f>
        <v/>
      </c>
      <c r="X15" s="132">
        <f>IF(W15="","",IF(DAY(W15+1)=1,"",W15+1))</f>
        <v/>
      </c>
      <c r="Y15" s="132">
        <f>IF(X15="","",IF(DAY(X15+1)=1,"",X15+1))</f>
        <v/>
      </c>
      <c r="Z15" s="132">
        <f>IF(Y15="","",IF(DAY(Y15+1)=1,"",Y15+1))</f>
        <v/>
      </c>
      <c r="AA15" s="132">
        <f>IF(Z15="","",IF(DAY(Z15+1)=1,"",Z15+1))</f>
        <v/>
      </c>
      <c r="AB15" s="132">
        <f>IF(AA15="","",IF(DAY(AA15+1)=1,"",AA15+1))</f>
        <v/>
      </c>
      <c r="AC15" s="132">
        <f>IF(AB15="","",IF(DAY(AB15+1)=1,"",AB15+1))</f>
        <v/>
      </c>
      <c r="AD15" s="132">
        <f>IF(AC15="","",IF(DAY(AC15+1)=1,"",AC15+1))</f>
        <v/>
      </c>
      <c r="AE15" s="132">
        <f>IF(AD15="","",IF(DAY(AD15+1)=1,"",AD15+1))</f>
        <v/>
      </c>
      <c r="AF15" s="132">
        <f>IF(AE15="","",IF(DAY(AE15+1)=1,"",AE15+1))</f>
        <v/>
      </c>
      <c r="AG15" s="132">
        <f>IF(AF15="","",IF(DAY(AF15+1)=1,"",AF15+1))</f>
        <v/>
      </c>
      <c r="AH15" s="132">
        <f>IF(AG15="","",IF(DAY(AG15+1)=1,"",AG15+1))</f>
        <v/>
      </c>
      <c r="AI15" s="132">
        <f>IF(AH15="","",IF(DAY(AH15+1)=1,"",AH15+1))</f>
        <v/>
      </c>
      <c r="AJ15" s="132">
        <f>IF(AI15="","",IF(DAY(AI15+1)=1,"",AI15+1))</f>
        <v/>
      </c>
      <c r="AK15" s="132">
        <f>IF(AJ15="","",IF(DAY(AJ15+1)=1,"",AJ15+1))</f>
        <v/>
      </c>
      <c r="AL15" s="133" t="inlineStr">
        <is>
          <t>Total</t>
        </is>
      </c>
      <c r="AM15" s="7" t="n"/>
      <c r="AN15" s="21" t="n"/>
      <c r="AO15" s="20" t="n"/>
    </row>
    <row r="16" ht="20.25" customFormat="1" customHeight="1" s="11">
      <c r="A16" s="134" t="n"/>
      <c r="B16" s="135" t="n"/>
      <c r="C16" s="136" t="n"/>
      <c r="D16" s="102" t="inlineStr">
        <is>
          <t>時間</t>
        </is>
      </c>
      <c r="E16" s="137" t="n"/>
      <c r="F16" s="138" t="n"/>
      <c r="G16" s="139">
        <f>+G15</f>
        <v/>
      </c>
      <c r="H16" s="139">
        <f>+H15</f>
        <v/>
      </c>
      <c r="I16" s="139">
        <f>+I15</f>
        <v/>
      </c>
      <c r="J16" s="139">
        <f>+J15</f>
        <v/>
      </c>
      <c r="K16" s="139">
        <f>+K15</f>
        <v/>
      </c>
      <c r="L16" s="139">
        <f>+L15</f>
        <v/>
      </c>
      <c r="M16" s="139">
        <f>+M15</f>
        <v/>
      </c>
      <c r="N16" s="139">
        <f>+N15</f>
        <v/>
      </c>
      <c r="O16" s="139">
        <f>+O15</f>
        <v/>
      </c>
      <c r="P16" s="139">
        <f>+P15</f>
        <v/>
      </c>
      <c r="Q16" s="139">
        <f>+Q15</f>
        <v/>
      </c>
      <c r="R16" s="139">
        <f>+R15</f>
        <v/>
      </c>
      <c r="S16" s="139">
        <f>+S15</f>
        <v/>
      </c>
      <c r="T16" s="139">
        <f>+T15</f>
        <v/>
      </c>
      <c r="U16" s="139">
        <f>+U15</f>
        <v/>
      </c>
      <c r="V16" s="139">
        <f>+V15</f>
        <v/>
      </c>
      <c r="W16" s="139">
        <f>+W15</f>
        <v/>
      </c>
      <c r="X16" s="139">
        <f>+X15</f>
        <v/>
      </c>
      <c r="Y16" s="139">
        <f>+Y15</f>
        <v/>
      </c>
      <c r="Z16" s="139">
        <f>+Z15</f>
        <v/>
      </c>
      <c r="AA16" s="139">
        <f>+AA15</f>
        <v/>
      </c>
      <c r="AB16" s="139">
        <f>+AB15</f>
        <v/>
      </c>
      <c r="AC16" s="139">
        <f>+AC15</f>
        <v/>
      </c>
      <c r="AD16" s="139">
        <f>+AD15</f>
        <v/>
      </c>
      <c r="AE16" s="139">
        <f>+AE15</f>
        <v/>
      </c>
      <c r="AF16" s="139">
        <f>+AF15</f>
        <v/>
      </c>
      <c r="AG16" s="139">
        <f>+AG15</f>
        <v/>
      </c>
      <c r="AH16" s="139">
        <f>+AH15</f>
        <v/>
      </c>
      <c r="AI16" s="139">
        <f>+AI15</f>
        <v/>
      </c>
      <c r="AJ16" s="139">
        <f>+AJ15</f>
        <v/>
      </c>
      <c r="AK16" s="139">
        <f>+AK15</f>
        <v/>
      </c>
      <c r="AL16" s="140" t="n"/>
      <c r="AN16" s="21" t="n"/>
      <c r="AO16" s="20" t="n"/>
    </row>
    <row r="17" ht="56.25" customFormat="1" customHeight="1" s="11">
      <c r="A17" s="134" t="n"/>
      <c r="B17" s="174" t="inlineStr">
        <is>
          <t>PO 注文書</t>
        </is>
      </c>
      <c r="C17" s="142" t="n"/>
      <c r="D17" s="142" t="n"/>
      <c r="E17" s="142" t="n"/>
      <c r="F17" s="143" t="n"/>
      <c r="G17" s="144" t="n"/>
      <c r="H17" s="145" t="n"/>
      <c r="I17" s="144" t="n"/>
      <c r="J17" s="145" t="n"/>
      <c r="K17" s="145" t="n">
        <v>2200</v>
      </c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  <c r="AA17" s="145" t="n"/>
      <c r="AB17" s="145" t="n"/>
      <c r="AC17" s="145" t="n"/>
      <c r="AD17" s="145" t="n"/>
      <c r="AE17" s="145" t="n"/>
      <c r="AF17" s="145" t="n"/>
      <c r="AG17" s="145" t="n"/>
      <c r="AH17" s="145" t="n"/>
      <c r="AI17" s="145" t="n"/>
      <c r="AJ17" s="145" t="n"/>
      <c r="AK17" s="145" t="n"/>
      <c r="AL17" s="146">
        <f>SUM(G17:AK17)</f>
        <v/>
      </c>
      <c r="AN17" s="147" t="inlineStr">
        <is>
          <t>Tồn PO
注文の 残量</t>
        </is>
      </c>
      <c r="AO17" s="148">
        <f>AO12+AL17-AO18</f>
        <v/>
      </c>
    </row>
    <row r="18" ht="56.25" customHeight="1" s="127">
      <c r="A18" s="134" t="n"/>
      <c r="B18" s="111" t="inlineStr">
        <is>
          <t xml:space="preserve">計画数量
kế hoạch </t>
        </is>
      </c>
      <c r="C18" s="149" t="n"/>
      <c r="D18" s="149" t="n"/>
      <c r="E18" s="149" t="n"/>
      <c r="F18" s="150" t="n"/>
      <c r="G18" s="144" t="n"/>
      <c r="H18" s="144" t="n"/>
      <c r="I18" s="144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  <c r="AA18" s="145" t="n"/>
      <c r="AB18" s="145" t="n"/>
      <c r="AC18" s="145" t="n"/>
      <c r="AD18" s="145" t="n"/>
      <c r="AE18" s="145" t="n"/>
      <c r="AF18" s="145" t="n"/>
      <c r="AG18" s="145" t="n"/>
      <c r="AH18" s="145" t="n"/>
      <c r="AI18" s="145" t="n"/>
      <c r="AJ18" s="145" t="n"/>
      <c r="AK18" s="145" t="n"/>
      <c r="AL18" s="151">
        <f>SUM(G18:AK18)</f>
        <v/>
      </c>
      <c r="AM18" s="0" t="n"/>
      <c r="AN18" s="24" t="inlineStr">
        <is>
          <t>Tổng nhập 総入荷数量
（A)-(B)+(C)</t>
        </is>
      </c>
      <c r="AO18" s="152">
        <f>AL19-AL20+AL21</f>
        <v/>
      </c>
    </row>
    <row r="19" ht="56.25" customHeight="1" s="127">
      <c r="A19" s="134" t="n"/>
      <c r="B19" s="111" t="inlineStr">
        <is>
          <t>実際の納品数量
số lượng thực nhập</t>
        </is>
      </c>
      <c r="C19" s="149" t="n"/>
      <c r="D19" s="149" t="n"/>
      <c r="E19" s="149" t="n"/>
      <c r="F19" s="150" t="n"/>
      <c r="G19" s="153" t="n"/>
      <c r="H19" s="153" t="n"/>
      <c r="I19" s="154" t="n"/>
      <c r="J19" s="155" t="n">
        <v>3</v>
      </c>
      <c r="K19" s="156" t="n"/>
      <c r="L19" s="156" t="n"/>
      <c r="M19" s="155" t="n"/>
      <c r="N19" s="155" t="n"/>
      <c r="O19" s="155" t="n">
        <v>2150</v>
      </c>
      <c r="P19" s="155" t="n"/>
      <c r="Q19" s="156" t="n"/>
      <c r="R19" s="156" t="n"/>
      <c r="S19" s="156" t="n"/>
      <c r="T19" s="156" t="n"/>
      <c r="U19" s="156" t="n"/>
      <c r="V19" s="156" t="n"/>
      <c r="W19" s="156" t="n"/>
      <c r="X19" s="156" t="n"/>
      <c r="Y19" s="156" t="n"/>
      <c r="Z19" s="156" t="n"/>
      <c r="AA19" s="156" t="n"/>
      <c r="AB19" s="156" t="n"/>
      <c r="AC19" s="155" t="n"/>
      <c r="AD19" s="155" t="n"/>
      <c r="AE19" s="156" t="n"/>
      <c r="AF19" s="156" t="n"/>
      <c r="AG19" s="155" t="n"/>
      <c r="AH19" s="155" t="n"/>
      <c r="AI19" s="156" t="n"/>
      <c r="AJ19" s="156" t="n"/>
      <c r="AK19" s="156" t="n"/>
      <c r="AL19" s="157">
        <f>SUM(G19:AK19)</f>
        <v/>
      </c>
      <c r="AM19" s="6" t="inlineStr">
        <is>
          <t>(A)</t>
        </is>
      </c>
      <c r="AN19" s="24" t="inlineStr">
        <is>
          <t>Số lượng chưa khai tháng trước 先月まだ税関に申告されていない数量</t>
        </is>
      </c>
      <c r="AO19" s="148">
        <f>AO12</f>
        <v/>
      </c>
    </row>
    <row r="20" ht="56.25" customHeight="1" s="127">
      <c r="A20" s="134" t="n"/>
      <c r="B20" s="111" t="inlineStr">
        <is>
          <t>NG数量（DO SUNG 社変更済）
số lượng NG (Trả hàng DO SUNG)</t>
        </is>
      </c>
      <c r="C20" s="149" t="n"/>
      <c r="D20" s="149" t="n"/>
      <c r="E20" s="149" t="n"/>
      <c r="F20" s="150" t="n"/>
      <c r="G20" s="144" t="n"/>
      <c r="H20" s="144" t="n"/>
      <c r="I20" s="144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5" t="n"/>
      <c r="AF20" s="145" t="n"/>
      <c r="AG20" s="145" t="n"/>
      <c r="AH20" s="145" t="n"/>
      <c r="AI20" s="145" t="n"/>
      <c r="AJ20" s="145" t="n"/>
      <c r="AK20" s="145" t="n"/>
      <c r="AL20" s="158">
        <f>SUM(G20:AK20)</f>
        <v/>
      </c>
      <c r="AM20" s="6" t="inlineStr">
        <is>
          <t>(B)</t>
        </is>
      </c>
      <c r="AN20" s="24" t="inlineStr">
        <is>
          <t>Số lượng đã khai tháng này 今月税関に申告された数量</t>
        </is>
      </c>
      <c r="AO20" s="26" t="n">
        <v>2200</v>
      </c>
    </row>
    <row r="21" ht="56.25" customHeight="1" s="127" thickBot="1">
      <c r="A21" s="159" t="n"/>
      <c r="B21" s="109" t="inlineStr">
        <is>
          <t>NG数量（ドンスン　社しゅり済）
số lượng NG (DO SUNG đã sửa )</t>
        </is>
      </c>
      <c r="C21" s="160" t="n"/>
      <c r="D21" s="160" t="n"/>
      <c r="E21" s="160" t="n"/>
      <c r="F21" s="161" t="n"/>
      <c r="G21" s="162" t="n"/>
      <c r="H21" s="162" t="n"/>
      <c r="I21" s="163" t="n"/>
      <c r="J21" s="164" t="n"/>
      <c r="K21" s="165" t="n"/>
      <c r="L21" s="164" t="n"/>
      <c r="M21" s="164" t="n"/>
      <c r="N21" s="164" t="n"/>
      <c r="O21" s="164" t="n"/>
      <c r="P21" s="164" t="n"/>
      <c r="Q21" s="164" t="n"/>
      <c r="R21" s="165" t="n"/>
      <c r="S21" s="164" t="n"/>
      <c r="T21" s="164" t="n"/>
      <c r="U21" s="164" t="n"/>
      <c r="V21" s="164" t="n"/>
      <c r="W21" s="164" t="n"/>
      <c r="X21" s="164" t="n"/>
      <c r="Y21" s="165" t="n"/>
      <c r="Z21" s="164" t="n"/>
      <c r="AA21" s="164" t="n"/>
      <c r="AB21" s="164" t="n"/>
      <c r="AC21" s="164" t="n"/>
      <c r="AD21" s="164" t="n"/>
      <c r="AE21" s="165" t="n"/>
      <c r="AF21" s="165" t="n"/>
      <c r="AG21" s="164" t="n"/>
      <c r="AH21" s="164" t="n"/>
      <c r="AI21" s="164" t="n"/>
      <c r="AJ21" s="165" t="n"/>
      <c r="AK21" s="165" t="n"/>
      <c r="AL21" s="166">
        <f>SUM(G21:AK21)</f>
        <v/>
      </c>
      <c r="AM21" s="6" t="inlineStr">
        <is>
          <t>(C)</t>
        </is>
      </c>
      <c r="AN21" s="24" t="inlineStr">
        <is>
          <t>Số lượng còn lại chưa khai 残りの数量はまだ税関に申告されていません</t>
        </is>
      </c>
      <c r="AO21" s="148">
        <f>AO19+AO18-AO20</f>
        <v/>
      </c>
    </row>
    <row r="23" ht="21" customHeight="1" s="127" thickBot="1">
      <c r="B23" s="85" t="n">
        <v>2026</v>
      </c>
      <c r="D23" s="85" t="inlineStr">
        <is>
          <t>年</t>
        </is>
      </c>
      <c r="E23" s="85" t="n">
        <v>5</v>
      </c>
      <c r="F23" s="29" t="inlineStr">
        <is>
          <t>月</t>
        </is>
      </c>
      <c r="G23" s="8" t="n"/>
      <c r="H23" s="3" t="n"/>
      <c r="I23" s="3" t="n"/>
      <c r="J23" s="5" t="n"/>
      <c r="K23" s="5" t="n"/>
      <c r="L23" s="5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7" t="n"/>
    </row>
    <row r="24" ht="20.25" customFormat="1" customHeight="1" s="11">
      <c r="A24" s="173" t="inlineStr">
        <is>
          <t>mda0019 Thân khóa tay cầm (không khóa) ンドルロック本体 (キー無し)</t>
        </is>
      </c>
      <c r="B24" s="106" t="inlineStr">
        <is>
          <t>輸送</t>
        </is>
      </c>
      <c r="C24" s="129" t="n"/>
      <c r="D24" s="107" t="inlineStr">
        <is>
          <t>日</t>
        </is>
      </c>
      <c r="E24" s="130" t="n"/>
      <c r="F24" s="131" t="n"/>
      <c r="G24" s="132">
        <f>DATE(B23,E23,1)</f>
        <v/>
      </c>
      <c r="H24" s="132">
        <f>IF(G24="","",IF(DAY(G24+1)=1,"",G24+1))</f>
        <v/>
      </c>
      <c r="I24" s="132">
        <f>IF(H24="","",IF(DAY(H24+1)=1,"",H24+1))</f>
        <v/>
      </c>
      <c r="J24" s="132">
        <f>IF(I24="","",IF(DAY(I24+1)=1,"",I24+1))</f>
        <v/>
      </c>
      <c r="K24" s="132">
        <f>IF(J24="","",IF(DAY(J24+1)=1,"",J24+1))</f>
        <v/>
      </c>
      <c r="L24" s="132">
        <f>IF(K24="","",IF(DAY(K24+1)=1,"",K24+1))</f>
        <v/>
      </c>
      <c r="M24" s="132">
        <f>IF(L24="","",IF(DAY(L24+1)=1,"",L24+1))</f>
        <v/>
      </c>
      <c r="N24" s="132">
        <f>IF(M24="","",IF(DAY(M24+1)=1,"",M24+1))</f>
        <v/>
      </c>
      <c r="O24" s="132">
        <f>IF(N24="","",IF(DAY(N24+1)=1,"",N24+1))</f>
        <v/>
      </c>
      <c r="P24" s="132">
        <f>IF(O24="","",IF(DAY(O24+1)=1,"",O24+1))</f>
        <v/>
      </c>
      <c r="Q24" s="132">
        <f>IF(P24="","",IF(DAY(P24+1)=1,"",P24+1))</f>
        <v/>
      </c>
      <c r="R24" s="132">
        <f>IF(Q24="","",IF(DAY(Q24+1)=1,"",Q24+1))</f>
        <v/>
      </c>
      <c r="S24" s="132">
        <f>IF(R24="","",IF(DAY(R24+1)=1,"",R24+1))</f>
        <v/>
      </c>
      <c r="T24" s="132">
        <f>IF(S24="","",IF(DAY(S24+1)=1,"",S24+1))</f>
        <v/>
      </c>
      <c r="U24" s="132">
        <f>IF(T24="","",IF(DAY(T24+1)=1,"",T24+1))</f>
        <v/>
      </c>
      <c r="V24" s="132">
        <f>IF(U24="","",IF(DAY(U24+1)=1,"",U24+1))</f>
        <v/>
      </c>
      <c r="W24" s="132">
        <f>IF(V24="","",IF(DAY(V24+1)=1,"",V24+1))</f>
        <v/>
      </c>
      <c r="X24" s="132">
        <f>IF(W24="","",IF(DAY(W24+1)=1,"",W24+1))</f>
        <v/>
      </c>
      <c r="Y24" s="132">
        <f>IF(X24="","",IF(DAY(X24+1)=1,"",X24+1))</f>
        <v/>
      </c>
      <c r="Z24" s="132">
        <f>IF(Y24="","",IF(DAY(Y24+1)=1,"",Y24+1))</f>
        <v/>
      </c>
      <c r="AA24" s="132">
        <f>IF(Z24="","",IF(DAY(Z24+1)=1,"",Z24+1))</f>
        <v/>
      </c>
      <c r="AB24" s="132">
        <f>IF(AA24="","",IF(DAY(AA24+1)=1,"",AA24+1))</f>
        <v/>
      </c>
      <c r="AC24" s="132">
        <f>IF(AB24="","",IF(DAY(AB24+1)=1,"",AB24+1))</f>
        <v/>
      </c>
      <c r="AD24" s="132">
        <f>IF(AC24="","",IF(DAY(AC24+1)=1,"",AC24+1))</f>
        <v/>
      </c>
      <c r="AE24" s="132">
        <f>IF(AD24="","",IF(DAY(AD24+1)=1,"",AD24+1))</f>
        <v/>
      </c>
      <c r="AF24" s="132">
        <f>IF(AE24="","",IF(DAY(AE24+1)=1,"",AE24+1))</f>
        <v/>
      </c>
      <c r="AG24" s="132">
        <f>IF(AF24="","",IF(DAY(AF24+1)=1,"",AF24+1))</f>
        <v/>
      </c>
      <c r="AH24" s="132">
        <f>IF(AG24="","",IF(DAY(AG24+1)=1,"",AG24+1))</f>
        <v/>
      </c>
      <c r="AI24" s="132">
        <f>IF(AH24="","",IF(DAY(AH24+1)=1,"",AH24+1))</f>
        <v/>
      </c>
      <c r="AJ24" s="132">
        <f>IF(AI24="","",IF(DAY(AI24+1)=1,"",AI24+1))</f>
        <v/>
      </c>
      <c r="AK24" s="132">
        <f>IF(AJ24="","",IF(DAY(AJ24+1)=1,"",AJ24+1))</f>
        <v/>
      </c>
      <c r="AL24" s="133" t="inlineStr">
        <is>
          <t>Total</t>
        </is>
      </c>
      <c r="AM24" s="7" t="n"/>
      <c r="AN24" s="21" t="n"/>
      <c r="AO24" s="20" t="n"/>
    </row>
    <row r="25" ht="20.25" customFormat="1" customHeight="1" s="11">
      <c r="A25" s="134" t="n"/>
      <c r="B25" s="135" t="n"/>
      <c r="C25" s="136" t="n"/>
      <c r="D25" s="102" t="inlineStr">
        <is>
          <t>時間</t>
        </is>
      </c>
      <c r="E25" s="137" t="n"/>
      <c r="F25" s="138" t="n"/>
      <c r="G25" s="139">
        <f>+G24</f>
        <v/>
      </c>
      <c r="H25" s="139">
        <f>+H24</f>
        <v/>
      </c>
      <c r="I25" s="139">
        <f>+I24</f>
        <v/>
      </c>
      <c r="J25" s="139">
        <f>+J24</f>
        <v/>
      </c>
      <c r="K25" s="139">
        <f>+K24</f>
        <v/>
      </c>
      <c r="L25" s="139">
        <f>+L24</f>
        <v/>
      </c>
      <c r="M25" s="139">
        <f>+M24</f>
        <v/>
      </c>
      <c r="N25" s="139">
        <f>+N24</f>
        <v/>
      </c>
      <c r="O25" s="139">
        <f>+O24</f>
        <v/>
      </c>
      <c r="P25" s="139">
        <f>+P24</f>
        <v/>
      </c>
      <c r="Q25" s="139">
        <f>+Q24</f>
        <v/>
      </c>
      <c r="R25" s="139">
        <f>+R24</f>
        <v/>
      </c>
      <c r="S25" s="139">
        <f>+S24</f>
        <v/>
      </c>
      <c r="T25" s="139">
        <f>+T24</f>
        <v/>
      </c>
      <c r="U25" s="139">
        <f>+U24</f>
        <v/>
      </c>
      <c r="V25" s="139">
        <f>+V24</f>
        <v/>
      </c>
      <c r="W25" s="139">
        <f>+W24</f>
        <v/>
      </c>
      <c r="X25" s="139">
        <f>+X24</f>
        <v/>
      </c>
      <c r="Y25" s="139">
        <f>+Y24</f>
        <v/>
      </c>
      <c r="Z25" s="139">
        <f>+Z24</f>
        <v/>
      </c>
      <c r="AA25" s="139">
        <f>+AA24</f>
        <v/>
      </c>
      <c r="AB25" s="139">
        <f>+AB24</f>
        <v/>
      </c>
      <c r="AC25" s="139">
        <f>+AC24</f>
        <v/>
      </c>
      <c r="AD25" s="139">
        <f>+AD24</f>
        <v/>
      </c>
      <c r="AE25" s="139">
        <f>+AE24</f>
        <v/>
      </c>
      <c r="AF25" s="139">
        <f>+AF24</f>
        <v/>
      </c>
      <c r="AG25" s="139">
        <f>+AG24</f>
        <v/>
      </c>
      <c r="AH25" s="139">
        <f>+AH24</f>
        <v/>
      </c>
      <c r="AI25" s="139">
        <f>+AI24</f>
        <v/>
      </c>
      <c r="AJ25" s="139">
        <f>+AJ24</f>
        <v/>
      </c>
      <c r="AK25" s="139">
        <f>+AK24</f>
        <v/>
      </c>
      <c r="AL25" s="140" t="n"/>
      <c r="AN25" s="21" t="n"/>
      <c r="AO25" s="20" t="n"/>
    </row>
    <row r="26" ht="56.25" customFormat="1" customHeight="1" s="11">
      <c r="A26" s="134" t="n"/>
      <c r="B26" s="174" t="inlineStr">
        <is>
          <t>PO 注文書</t>
        </is>
      </c>
      <c r="C26" s="142" t="n"/>
      <c r="D26" s="142" t="n"/>
      <c r="E26" s="142" t="n"/>
      <c r="F26" s="143" t="n"/>
      <c r="G26" s="144" t="n"/>
      <c r="H26" s="145" t="n"/>
      <c r="I26" s="144" t="n"/>
      <c r="J26" s="145" t="n"/>
      <c r="K26" s="144" t="n"/>
      <c r="L26" s="145" t="n">
        <v>1200</v>
      </c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  <c r="AA26" s="145" t="n"/>
      <c r="AB26" s="145" t="n"/>
      <c r="AC26" s="145" t="n"/>
      <c r="AD26" s="145" t="n"/>
      <c r="AE26" s="145" t="n"/>
      <c r="AF26" s="145" t="n"/>
      <c r="AG26" s="145" t="n"/>
      <c r="AH26" s="145" t="n"/>
      <c r="AI26" s="145" t="n"/>
      <c r="AJ26" s="145" t="n"/>
      <c r="AK26" s="145" t="n"/>
      <c r="AL26" s="146">
        <f>SUM(G26:AK26)</f>
        <v/>
      </c>
      <c r="AN26" s="147" t="inlineStr">
        <is>
          <t>Tồn PO
注文の 残量</t>
        </is>
      </c>
      <c r="AO26" s="148">
        <f>AO21+AL26-AO27</f>
        <v/>
      </c>
    </row>
    <row r="27" ht="56.25" customHeight="1" s="127">
      <c r="A27" s="134" t="n"/>
      <c r="B27" s="111" t="inlineStr">
        <is>
          <t xml:space="preserve">計画数量
kế hoạch </t>
        </is>
      </c>
      <c r="C27" s="149" t="n"/>
      <c r="D27" s="149" t="n"/>
      <c r="E27" s="149" t="n"/>
      <c r="F27" s="150" t="n"/>
      <c r="G27" s="144" t="n"/>
      <c r="H27" s="144" t="n"/>
      <c r="I27" s="144" t="n"/>
      <c r="J27" s="145" t="n"/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  <c r="AA27" s="145" t="n"/>
      <c r="AB27" s="145" t="n"/>
      <c r="AC27" s="145" t="n"/>
      <c r="AD27" s="145" t="n"/>
      <c r="AE27" s="145" t="n"/>
      <c r="AF27" s="145" t="n"/>
      <c r="AG27" s="145" t="n"/>
      <c r="AH27" s="145" t="n"/>
      <c r="AI27" s="145" t="n"/>
      <c r="AJ27" s="145" t="n"/>
      <c r="AK27" s="145" t="n"/>
      <c r="AL27" s="151">
        <f>SUM(G27:AK27)</f>
        <v/>
      </c>
      <c r="AM27" s="0" t="n"/>
      <c r="AN27" s="24" t="inlineStr">
        <is>
          <t>Tổng nhập 総入荷数量
（A)-(B)+(C)</t>
        </is>
      </c>
      <c r="AO27" s="152">
        <f>AL28-AL29+AL30</f>
        <v/>
      </c>
    </row>
    <row r="28" ht="56.25" customHeight="1" s="127">
      <c r="A28" s="134" t="n"/>
      <c r="B28" s="111" t="inlineStr">
        <is>
          <t>実際の納品数量
số lượng thực nhập</t>
        </is>
      </c>
      <c r="C28" s="149" t="n"/>
      <c r="D28" s="149" t="n"/>
      <c r="E28" s="149" t="n"/>
      <c r="F28" s="150" t="n"/>
      <c r="G28" s="153" t="n"/>
      <c r="H28" s="153" t="n"/>
      <c r="I28" s="154" t="n"/>
      <c r="J28" s="155" t="n"/>
      <c r="K28" s="156" t="n"/>
      <c r="L28" s="156" t="n"/>
      <c r="M28" s="155" t="n"/>
      <c r="N28" s="155" t="n"/>
      <c r="O28" s="155" t="n"/>
      <c r="P28" s="155" t="n"/>
      <c r="Q28" s="156" t="n">
        <v>1200</v>
      </c>
      <c r="R28" s="156" t="n"/>
      <c r="S28" s="156" t="n"/>
      <c r="T28" s="156" t="n"/>
      <c r="U28" s="156" t="n"/>
      <c r="V28" s="156" t="n"/>
      <c r="W28" s="156" t="n"/>
      <c r="X28" s="156" t="n"/>
      <c r="Y28" s="156" t="n"/>
      <c r="Z28" s="156" t="n"/>
      <c r="AA28" s="156" t="n"/>
      <c r="AB28" s="156" t="n"/>
      <c r="AC28" s="155" t="n"/>
      <c r="AD28" s="155" t="n"/>
      <c r="AE28" s="156" t="n"/>
      <c r="AF28" s="156" t="n"/>
      <c r="AG28" s="155" t="n"/>
      <c r="AH28" s="155" t="n"/>
      <c r="AI28" s="156" t="n"/>
      <c r="AJ28" s="156" t="n"/>
      <c r="AK28" s="156" t="n"/>
      <c r="AL28" s="157">
        <f>SUM(G28:AK28)</f>
        <v/>
      </c>
      <c r="AM28" s="6" t="inlineStr">
        <is>
          <t>(A)</t>
        </is>
      </c>
      <c r="AN28" s="24" t="inlineStr">
        <is>
          <t>Số lượng chưa khai tháng trước 先月まだ税関に申告されていない数量</t>
        </is>
      </c>
      <c r="AO28" s="148">
        <f>AO21</f>
        <v/>
      </c>
    </row>
    <row r="29" ht="56.25" customHeight="1" s="127">
      <c r="A29" s="134" t="n"/>
      <c r="B29" s="111" t="inlineStr">
        <is>
          <t>NG数量（DO SUNG 社変更済）
số lượng NG (Trả hàng DO SUNG)</t>
        </is>
      </c>
      <c r="C29" s="149" t="n"/>
      <c r="D29" s="149" t="n"/>
      <c r="E29" s="149" t="n"/>
      <c r="F29" s="150" t="n"/>
      <c r="G29" s="144" t="n"/>
      <c r="H29" s="144" t="n"/>
      <c r="I29" s="144" t="n"/>
      <c r="J29" s="145" t="n"/>
      <c r="K29" s="145" t="n"/>
      <c r="L29" s="145" t="n"/>
      <c r="M29" s="145" t="n"/>
      <c r="N29" s="145" t="n"/>
      <c r="O29" s="145" t="n"/>
      <c r="P29" s="145" t="n"/>
      <c r="Q29" s="145" t="n"/>
      <c r="R29" s="145" t="n"/>
      <c r="S29" s="145" t="n"/>
      <c r="T29" s="145" t="n">
        <v>125</v>
      </c>
      <c r="U29" s="145" t="n"/>
      <c r="V29" s="145" t="n"/>
      <c r="W29" s="145" t="n"/>
      <c r="X29" s="145" t="n"/>
      <c r="Y29" s="145" t="n"/>
      <c r="Z29" s="145" t="n"/>
      <c r="AA29" s="145" t="n"/>
      <c r="AB29" s="145" t="n"/>
      <c r="AC29" s="145" t="n"/>
      <c r="AD29" s="145" t="n"/>
      <c r="AE29" s="145" t="n"/>
      <c r="AF29" s="145" t="n"/>
      <c r="AG29" s="145" t="n"/>
      <c r="AH29" s="145" t="n"/>
      <c r="AI29" s="145" t="n"/>
      <c r="AJ29" s="145" t="n"/>
      <c r="AK29" s="145" t="n"/>
      <c r="AL29" s="158">
        <f>SUM(G29:AK29)</f>
        <v/>
      </c>
      <c r="AM29" s="6" t="inlineStr">
        <is>
          <t>(B)</t>
        </is>
      </c>
      <c r="AN29" s="24" t="inlineStr">
        <is>
          <t>Số lượng đã khai tháng này 今月税関に申告された数量</t>
        </is>
      </c>
      <c r="AO29" s="26" t="n">
        <v>1200</v>
      </c>
    </row>
    <row r="30" ht="56.25" customHeight="1" s="127" thickBot="1">
      <c r="A30" s="159" t="n"/>
      <c r="B30" s="109" t="inlineStr">
        <is>
          <t>NG数量（ドンスン　社しゅり済）
số lượng NG (DO SUNG đã sửa )</t>
        </is>
      </c>
      <c r="C30" s="160" t="n"/>
      <c r="D30" s="160" t="n"/>
      <c r="E30" s="160" t="n"/>
      <c r="F30" s="161" t="n"/>
      <c r="G30" s="162" t="n"/>
      <c r="H30" s="162" t="n"/>
      <c r="I30" s="163" t="n"/>
      <c r="J30" s="164" t="n"/>
      <c r="K30" s="165" t="n"/>
      <c r="L30" s="164" t="n"/>
      <c r="M30" s="164" t="n"/>
      <c r="N30" s="164" t="n"/>
      <c r="O30" s="164" t="n"/>
      <c r="P30" s="164" t="n"/>
      <c r="Q30" s="164" t="n">
        <v>21</v>
      </c>
      <c r="R30" s="165" t="n"/>
      <c r="S30" s="164" t="n"/>
      <c r="T30" s="164">
        <f>114-10</f>
        <v/>
      </c>
      <c r="U30" s="164" t="n"/>
      <c r="V30" s="164" t="n"/>
      <c r="W30" s="164" t="n"/>
      <c r="X30" s="164" t="n"/>
      <c r="Y30" s="165" t="n"/>
      <c r="Z30" s="164" t="n"/>
      <c r="AA30" s="164" t="n"/>
      <c r="AB30" s="164" t="n"/>
      <c r="AC30" s="164" t="n"/>
      <c r="AD30" s="164" t="n"/>
      <c r="AE30" s="165" t="n"/>
      <c r="AF30" s="165" t="n"/>
      <c r="AG30" s="164" t="n"/>
      <c r="AH30" s="164" t="n"/>
      <c r="AI30" s="164" t="n"/>
      <c r="AJ30" s="165" t="n"/>
      <c r="AK30" s="165" t="n"/>
      <c r="AL30" s="166">
        <f>SUM(G30:AK30)</f>
        <v/>
      </c>
      <c r="AM30" s="6" t="inlineStr">
        <is>
          <t>(C)</t>
        </is>
      </c>
      <c r="AN30" s="24" t="inlineStr">
        <is>
          <t>Số lượng còn lại chưa khai 残りの数量はまだ税関に申告されていません</t>
        </is>
      </c>
      <c r="AO30" s="148">
        <f>AO28+AO27-AO29</f>
        <v/>
      </c>
    </row>
    <row r="33" ht="29.25" customHeight="1" s="127" thickBot="1">
      <c r="B33" s="85" t="n">
        <v>2026</v>
      </c>
      <c r="D33" s="85" t="inlineStr">
        <is>
          <t>年</t>
        </is>
      </c>
      <c r="E33" s="85" t="n">
        <v>10</v>
      </c>
      <c r="F33" s="29" t="inlineStr">
        <is>
          <t>月</t>
        </is>
      </c>
      <c r="G33" s="8" t="n"/>
      <c r="H33" s="3" t="n"/>
      <c r="I33" s="3" t="n"/>
      <c r="J33" s="5" t="n"/>
      <c r="K33" s="5" t="n"/>
      <c r="L33" s="5" t="n"/>
      <c r="M33" s="4" t="n"/>
      <c r="N33" s="4" t="n"/>
      <c r="O33" s="4" t="n"/>
      <c r="P33" s="4" t="n"/>
      <c r="Q33" s="71" t="inlineStr">
        <is>
          <t>11/07/2026 đặt PO</t>
        </is>
      </c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7" t="n"/>
    </row>
    <row r="34" ht="28.5" customHeight="1" s="127">
      <c r="A34" s="173" t="inlineStr">
        <is>
          <t>mda0019 Thân khóa tay cầm (không khóa) ンドルロック本体 (キー無し)</t>
        </is>
      </c>
      <c r="B34" s="106" t="inlineStr">
        <is>
          <t>輸送</t>
        </is>
      </c>
      <c r="C34" s="129" t="n"/>
      <c r="D34" s="107" t="inlineStr">
        <is>
          <t>日</t>
        </is>
      </c>
      <c r="E34" s="130" t="n"/>
      <c r="F34" s="131" t="n"/>
      <c r="G34" s="132">
        <f>DATE(B33,E33,1)</f>
        <v/>
      </c>
      <c r="H34" s="132">
        <f>IF(G34="","",IF(DAY(G34+1)=1,"",G34+1))</f>
        <v/>
      </c>
      <c r="I34" s="132">
        <f>IF(H34="","",IF(DAY(H34+1)=1,"",H34+1))</f>
        <v/>
      </c>
      <c r="J34" s="132">
        <f>IF(I34="","",IF(DAY(I34+1)=1,"",I34+1))</f>
        <v/>
      </c>
      <c r="K34" s="132">
        <f>IF(J34="","",IF(DAY(J34+1)=1,"",J34+1))</f>
        <v/>
      </c>
      <c r="L34" s="132">
        <f>IF(K34="","",IF(DAY(K34+1)=1,"",K34+1))</f>
        <v/>
      </c>
      <c r="M34" s="132">
        <f>IF(L34="","",IF(DAY(L34+1)=1,"",L34+1))</f>
        <v/>
      </c>
      <c r="N34" s="132">
        <f>IF(M34="","",IF(DAY(M34+1)=1,"",M34+1))</f>
        <v/>
      </c>
      <c r="O34" s="132">
        <f>IF(N34="","",IF(DAY(N34+1)=1,"",N34+1))</f>
        <v/>
      </c>
      <c r="P34" s="132">
        <f>IF(O34="","",IF(DAY(O34+1)=1,"",O34+1))</f>
        <v/>
      </c>
      <c r="Q34" s="132">
        <f>IF(P34="","",IF(DAY(P34+1)=1,"",P34+1))</f>
        <v/>
      </c>
      <c r="R34" s="132">
        <f>IF(Q34="","",IF(DAY(Q34+1)=1,"",Q34+1))</f>
        <v/>
      </c>
      <c r="S34" s="132">
        <f>IF(R34="","",IF(DAY(R34+1)=1,"",R34+1))</f>
        <v/>
      </c>
      <c r="T34" s="132">
        <f>IF(S34="","",IF(DAY(S34+1)=1,"",S34+1))</f>
        <v/>
      </c>
      <c r="U34" s="132">
        <f>IF(T34="","",IF(DAY(T34+1)=1,"",T34+1))</f>
        <v/>
      </c>
      <c r="V34" s="132">
        <f>IF(U34="","",IF(DAY(U34+1)=1,"",U34+1))</f>
        <v/>
      </c>
      <c r="W34" s="132">
        <f>IF(V34="","",IF(DAY(V34+1)=1,"",V34+1))</f>
        <v/>
      </c>
      <c r="X34" s="132">
        <f>IF(W34="","",IF(DAY(W34+1)=1,"",W34+1))</f>
        <v/>
      </c>
      <c r="Y34" s="132">
        <f>IF(X34="","",IF(DAY(X34+1)=1,"",X34+1))</f>
        <v/>
      </c>
      <c r="Z34" s="132">
        <f>IF(Y34="","",IF(DAY(Y34+1)=1,"",Y34+1))</f>
        <v/>
      </c>
      <c r="AA34" s="132">
        <f>IF(Z34="","",IF(DAY(Z34+1)=1,"",Z34+1))</f>
        <v/>
      </c>
      <c r="AB34" s="132">
        <f>IF(AA34="","",IF(DAY(AA34+1)=1,"",AA34+1))</f>
        <v/>
      </c>
      <c r="AC34" s="132">
        <f>IF(AB34="","",IF(DAY(AB34+1)=1,"",AB34+1))</f>
        <v/>
      </c>
      <c r="AD34" s="132">
        <f>IF(AC34="","",IF(DAY(AC34+1)=1,"",AC34+1))</f>
        <v/>
      </c>
      <c r="AE34" s="132">
        <f>IF(AD34="","",IF(DAY(AD34+1)=1,"",AD34+1))</f>
        <v/>
      </c>
      <c r="AF34" s="132">
        <f>IF(AE34="","",IF(DAY(AE34+1)=1,"",AE34+1))</f>
        <v/>
      </c>
      <c r="AG34" s="132">
        <f>IF(AF34="","",IF(DAY(AF34+1)=1,"",AF34+1))</f>
        <v/>
      </c>
      <c r="AH34" s="132">
        <f>IF(AG34="","",IF(DAY(AG34+1)=1,"",AG34+1))</f>
        <v/>
      </c>
      <c r="AI34" s="132">
        <f>IF(AH34="","",IF(DAY(AH34+1)=1,"",AH34+1))</f>
        <v/>
      </c>
      <c r="AJ34" s="132">
        <f>IF(AI34="","",IF(DAY(AI34+1)=1,"",AI34+1))</f>
        <v/>
      </c>
      <c r="AK34" s="132">
        <f>IF(AJ34="","",IF(DAY(AJ34+1)=1,"",AJ34+1))</f>
        <v/>
      </c>
      <c r="AL34" s="133" t="inlineStr">
        <is>
          <t>Total</t>
        </is>
      </c>
      <c r="AM34" s="7" t="n"/>
      <c r="AN34" s="21" t="n"/>
    </row>
    <row r="35">
      <c r="A35" s="134" t="n"/>
      <c r="B35" s="135" t="n"/>
      <c r="C35" s="136" t="n"/>
      <c r="D35" s="102" t="inlineStr">
        <is>
          <t>時間</t>
        </is>
      </c>
      <c r="E35" s="137" t="n"/>
      <c r="F35" s="138" t="n"/>
      <c r="G35" s="139">
        <f>+G34</f>
        <v/>
      </c>
      <c r="H35" s="139">
        <f>+H34</f>
        <v/>
      </c>
      <c r="I35" s="139">
        <f>+I34</f>
        <v/>
      </c>
      <c r="J35" s="139">
        <f>+J34</f>
        <v/>
      </c>
      <c r="K35" s="139">
        <f>+K34</f>
        <v/>
      </c>
      <c r="L35" s="139">
        <f>+L34</f>
        <v/>
      </c>
      <c r="M35" s="139">
        <f>+M34</f>
        <v/>
      </c>
      <c r="N35" s="139">
        <f>+N34</f>
        <v/>
      </c>
      <c r="O35" s="139">
        <f>+O34</f>
        <v/>
      </c>
      <c r="P35" s="139">
        <f>+P34</f>
        <v/>
      </c>
      <c r="Q35" s="139">
        <f>+Q34</f>
        <v/>
      </c>
      <c r="R35" s="139">
        <f>+R34</f>
        <v/>
      </c>
      <c r="S35" s="139">
        <f>+S34</f>
        <v/>
      </c>
      <c r="T35" s="139">
        <f>+T34</f>
        <v/>
      </c>
      <c r="U35" s="139">
        <f>+U34</f>
        <v/>
      </c>
      <c r="V35" s="139">
        <f>+V34</f>
        <v/>
      </c>
      <c r="W35" s="139">
        <f>+W34</f>
        <v/>
      </c>
      <c r="X35" s="139">
        <f>+X34</f>
        <v/>
      </c>
      <c r="Y35" s="139">
        <f>+Y34</f>
        <v/>
      </c>
      <c r="Z35" s="139">
        <f>+Z34</f>
        <v/>
      </c>
      <c r="AA35" s="139">
        <f>+AA34</f>
        <v/>
      </c>
      <c r="AB35" s="139">
        <f>+AB34</f>
        <v/>
      </c>
      <c r="AC35" s="139">
        <f>+AC34</f>
        <v/>
      </c>
      <c r="AD35" s="139">
        <f>+AD34</f>
        <v/>
      </c>
      <c r="AE35" s="139">
        <f>+AE34</f>
        <v/>
      </c>
      <c r="AF35" s="139">
        <f>+AF34</f>
        <v/>
      </c>
      <c r="AG35" s="139">
        <f>+AG34</f>
        <v/>
      </c>
      <c r="AH35" s="139">
        <f>+AH34</f>
        <v/>
      </c>
      <c r="AI35" s="139">
        <f>+AI34</f>
        <v/>
      </c>
      <c r="AJ35" s="139">
        <f>+AJ34</f>
        <v/>
      </c>
      <c r="AK35" s="139">
        <f>+AK34</f>
        <v/>
      </c>
      <c r="AL35" s="140" t="n"/>
      <c r="AM35" s="11" t="n"/>
      <c r="AN35" s="21" t="n"/>
    </row>
    <row r="36" ht="42" customHeight="1" s="127">
      <c r="A36" s="134" t="n"/>
      <c r="B36" s="174" t="inlineStr">
        <is>
          <t>PO 注文書</t>
        </is>
      </c>
      <c r="C36" s="142" t="n"/>
      <c r="D36" s="142" t="n"/>
      <c r="E36" s="142" t="n"/>
      <c r="F36" s="143" t="n"/>
      <c r="G36" s="144" t="n"/>
      <c r="H36" s="145" t="n"/>
      <c r="I36" s="144" t="n"/>
      <c r="J36" s="145" t="n"/>
      <c r="K36" s="144" t="n"/>
      <c r="L36" s="145" t="n"/>
      <c r="M36" s="145" t="n"/>
      <c r="N36" s="145" t="n"/>
      <c r="O36" s="145" t="n"/>
      <c r="P36" s="145" t="n"/>
      <c r="Q36" s="145" t="n">
        <v>1000</v>
      </c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  <c r="AA36" s="145" t="n"/>
      <c r="AB36" s="145" t="n"/>
      <c r="AC36" s="145" t="n"/>
      <c r="AD36" s="145" t="n"/>
      <c r="AE36" s="145" t="n"/>
      <c r="AF36" s="145" t="n"/>
      <c r="AG36" s="145" t="n"/>
      <c r="AH36" s="145" t="n"/>
      <c r="AI36" s="145" t="n"/>
      <c r="AJ36" s="145" t="n"/>
      <c r="AK36" s="145" t="n"/>
      <c r="AL36" s="146">
        <f>SUM(G36:AK36)</f>
        <v/>
      </c>
      <c r="AM36" s="11" t="n"/>
      <c r="AN36" s="147" t="inlineStr">
        <is>
          <t>Tồn PO
注文の 残量</t>
        </is>
      </c>
      <c r="AO36" s="148">
        <f>AL36</f>
        <v/>
      </c>
    </row>
    <row r="37" ht="63" customHeight="1" s="127">
      <c r="A37" s="134" t="n"/>
      <c r="B37" s="111" t="inlineStr">
        <is>
          <t xml:space="preserve">計画数量
kế hoạch </t>
        </is>
      </c>
      <c r="C37" s="149" t="n"/>
      <c r="D37" s="149" t="n"/>
      <c r="E37" s="149" t="n"/>
      <c r="F37" s="150" t="n"/>
      <c r="G37" s="144" t="n">
        <v>1000</v>
      </c>
      <c r="H37" s="144" t="n"/>
      <c r="I37" s="144" t="n"/>
      <c r="J37" s="145" t="n"/>
      <c r="K37" s="145" t="n"/>
      <c r="L37" s="145" t="n"/>
      <c r="M37" s="145" t="n"/>
      <c r="N37" s="145" t="n"/>
      <c r="O37" s="145" t="n"/>
      <c r="P37" s="145" t="n"/>
      <c r="Q37" s="145" t="n"/>
      <c r="R37" s="145" t="n"/>
      <c r="S37" s="145" t="n"/>
      <c r="T37" s="145" t="n"/>
      <c r="U37" s="145" t="n"/>
      <c r="V37" s="145" t="n"/>
      <c r="W37" s="145" t="n"/>
      <c r="Y37" s="145" t="n"/>
      <c r="Z37" s="145" t="n"/>
      <c r="AA37" s="145" t="n"/>
      <c r="AB37" s="145" t="n"/>
      <c r="AC37" s="145" t="n"/>
      <c r="AD37" s="145" t="n"/>
      <c r="AE37" s="145" t="n"/>
      <c r="AF37" s="145" t="n"/>
      <c r="AG37" s="145" t="n"/>
      <c r="AH37" s="145" t="n"/>
      <c r="AI37" s="145" t="n"/>
      <c r="AJ37" s="145" t="n"/>
      <c r="AK37" s="145" t="n"/>
      <c r="AL37" s="151">
        <f>SUM(G37:AK37)</f>
        <v/>
      </c>
      <c r="AM37" s="0" t="n"/>
      <c r="AN37" s="24" t="inlineStr">
        <is>
          <t>Tổng nhập 総入荷数量
（A)-(B)+(C)</t>
        </is>
      </c>
      <c r="AO37" s="152">
        <f>AL38-AL39+AL40</f>
        <v/>
      </c>
    </row>
    <row r="38" ht="105" customHeight="1" s="127">
      <c r="A38" s="134" t="n"/>
      <c r="B38" s="111" t="inlineStr">
        <is>
          <t>実際の納品数量
số lượng thực nhập</t>
        </is>
      </c>
      <c r="C38" s="149" t="n"/>
      <c r="D38" s="149" t="n"/>
      <c r="E38" s="149" t="n"/>
      <c r="F38" s="150" t="n"/>
      <c r="G38" s="153" t="n"/>
      <c r="H38" s="153" t="n"/>
      <c r="I38" s="154" t="n"/>
      <c r="J38" s="155" t="n"/>
      <c r="K38" s="156" t="n"/>
      <c r="L38" s="156" t="n"/>
      <c r="M38" s="155" t="n"/>
      <c r="N38" s="155" t="n"/>
      <c r="O38" s="155" t="n"/>
      <c r="P38" s="155" t="n"/>
      <c r="Q38" s="156" t="n"/>
      <c r="R38" s="156" t="n"/>
      <c r="S38" s="156" t="n"/>
      <c r="T38" s="156" t="n"/>
      <c r="U38" s="156" t="n"/>
      <c r="V38" s="156" t="n"/>
      <c r="W38" s="156" t="n"/>
      <c r="X38" s="156" t="n"/>
      <c r="Y38" s="156" t="n"/>
      <c r="Z38" s="156" t="n"/>
      <c r="AA38" s="156" t="n"/>
      <c r="AB38" s="156" t="n"/>
      <c r="AC38" s="155" t="n"/>
      <c r="AD38" s="155" t="n"/>
      <c r="AE38" s="156" t="n"/>
      <c r="AF38" s="156" t="n"/>
      <c r="AG38" s="155" t="n"/>
      <c r="AH38" s="155" t="n"/>
      <c r="AI38" s="156" t="n"/>
      <c r="AJ38" s="156" t="n"/>
      <c r="AK38" s="156" t="n"/>
      <c r="AL38" s="157">
        <f>SUM(G38:AK38)</f>
        <v/>
      </c>
      <c r="AM38" s="6" t="inlineStr">
        <is>
          <t>(A)</t>
        </is>
      </c>
      <c r="AN38" s="24" t="inlineStr">
        <is>
          <t>Số lượng chưa khai tháng trước 先月まだ税関に申告されていない数量</t>
        </is>
      </c>
      <c r="AO38" s="148">
        <f>AO31</f>
        <v/>
      </c>
    </row>
    <row r="39" ht="84" customHeight="1" s="127">
      <c r="A39" s="134" t="n"/>
      <c r="B39" s="111" t="inlineStr">
        <is>
          <t>NG数量（DO SUNG 社変更済）
số lượng NG (Trả hàng DO SUNG)</t>
        </is>
      </c>
      <c r="C39" s="149" t="n"/>
      <c r="D39" s="149" t="n"/>
      <c r="E39" s="149" t="n"/>
      <c r="F39" s="150" t="n"/>
      <c r="G39" s="144" t="n"/>
      <c r="H39" s="144" t="n"/>
      <c r="I39" s="144" t="n"/>
      <c r="J39" s="145" t="n"/>
      <c r="K39" s="145" t="n"/>
      <c r="L39" s="145" t="n"/>
      <c r="M39" s="145" t="n"/>
      <c r="N39" s="145" t="n"/>
      <c r="O39" s="145" t="n"/>
      <c r="P39" s="145" t="n"/>
      <c r="Q39" s="145" t="n"/>
      <c r="R39" s="145" t="n"/>
      <c r="S39" s="145" t="n"/>
      <c r="T39" s="145" t="n"/>
      <c r="U39" s="145" t="n"/>
      <c r="V39" s="145" t="n"/>
      <c r="W39" s="145" t="n"/>
      <c r="X39" s="145" t="n"/>
      <c r="Y39" s="145" t="n"/>
      <c r="Z39" s="145" t="n"/>
      <c r="AA39" s="145" t="n"/>
      <c r="AB39" s="145" t="n"/>
      <c r="AC39" s="145" t="n"/>
      <c r="AD39" s="145" t="n"/>
      <c r="AE39" s="145" t="n"/>
      <c r="AF39" s="145" t="n"/>
      <c r="AG39" s="145" t="n"/>
      <c r="AH39" s="145" t="n"/>
      <c r="AI39" s="145" t="n"/>
      <c r="AJ39" s="145" t="n"/>
      <c r="AK39" s="145" t="n"/>
      <c r="AL39" s="158">
        <f>SUM(G39:AK39)</f>
        <v/>
      </c>
      <c r="AM39" s="6" t="inlineStr">
        <is>
          <t>(B)</t>
        </is>
      </c>
      <c r="AN39" s="24" t="inlineStr">
        <is>
          <t>Số lượng đã khai tháng này 今月税関に申告された数量</t>
        </is>
      </c>
      <c r="AO39" s="26" t="n"/>
    </row>
    <row r="40" ht="105.75" customHeight="1" s="127" thickBot="1">
      <c r="A40" s="159" t="n"/>
      <c r="B40" s="109" t="inlineStr">
        <is>
          <t>NG数量（ドンスン　社しゅり済）
số lượng NG (DO SUNG đã sửa )</t>
        </is>
      </c>
      <c r="C40" s="160" t="n"/>
      <c r="D40" s="160" t="n"/>
      <c r="E40" s="160" t="n"/>
      <c r="F40" s="161" t="n"/>
      <c r="G40" s="162" t="n"/>
      <c r="H40" s="162" t="n"/>
      <c r="I40" s="163" t="n"/>
      <c r="J40" s="164" t="n"/>
      <c r="K40" s="165" t="n"/>
      <c r="L40" s="164" t="n"/>
      <c r="M40" s="164" t="n"/>
      <c r="N40" s="164" t="n"/>
      <c r="O40" s="164" t="n"/>
      <c r="P40" s="164" t="n"/>
      <c r="Q40" s="164" t="n"/>
      <c r="R40" s="165" t="n"/>
      <c r="S40" s="164" t="n"/>
      <c r="T40" s="164" t="n"/>
      <c r="U40" s="164" t="n"/>
      <c r="V40" s="164" t="n"/>
      <c r="W40" s="164" t="n"/>
      <c r="X40" s="164" t="n"/>
      <c r="Y40" s="165" t="n"/>
      <c r="Z40" s="164" t="n"/>
      <c r="AA40" s="164" t="n"/>
      <c r="AB40" s="164" t="n"/>
      <c r="AC40" s="164" t="n"/>
      <c r="AD40" s="164" t="n"/>
      <c r="AE40" s="165" t="n"/>
      <c r="AF40" s="165" t="n"/>
      <c r="AG40" s="164" t="n"/>
      <c r="AH40" s="164" t="n"/>
      <c r="AI40" s="164" t="n"/>
      <c r="AJ40" s="165" t="n"/>
      <c r="AK40" s="165" t="n"/>
      <c r="AL40" s="166">
        <f>SUM(G40:AK40)</f>
        <v/>
      </c>
      <c r="AM40" s="6" t="inlineStr">
        <is>
          <t>(C)</t>
        </is>
      </c>
      <c r="AN40" s="24" t="inlineStr">
        <is>
          <t>Số lượng còn lại chưa khai 残りの数量はまだ税関に申告されていません</t>
        </is>
      </c>
      <c r="AO40" s="148">
        <f>AO38+AO37-AO39</f>
        <v/>
      </c>
    </row>
  </sheetData>
  <mergeCells count="46">
    <mergeCell ref="AG4:AK4"/>
    <mergeCell ref="B34:C35"/>
    <mergeCell ref="B15:C16"/>
    <mergeCell ref="B6:C7"/>
    <mergeCell ref="B24:C25"/>
    <mergeCell ref="D7:F7"/>
    <mergeCell ref="B18:F18"/>
    <mergeCell ref="D16:F16"/>
    <mergeCell ref="B27:F27"/>
    <mergeCell ref="B21:F21"/>
    <mergeCell ref="B12:F12"/>
    <mergeCell ref="B39:F39"/>
    <mergeCell ref="B11:F11"/>
    <mergeCell ref="B23:C23"/>
    <mergeCell ref="B14:C14"/>
    <mergeCell ref="B8:F8"/>
    <mergeCell ref="D25:F25"/>
    <mergeCell ref="B17:F17"/>
    <mergeCell ref="D15:F15"/>
    <mergeCell ref="A15:A21"/>
    <mergeCell ref="AL24:AL25"/>
    <mergeCell ref="D24:F24"/>
    <mergeCell ref="B29:F29"/>
    <mergeCell ref="A34:A40"/>
    <mergeCell ref="B38:F38"/>
    <mergeCell ref="B10:F10"/>
    <mergeCell ref="B28:F28"/>
    <mergeCell ref="B19:F19"/>
    <mergeCell ref="D35:F35"/>
    <mergeCell ref="B37:F37"/>
    <mergeCell ref="A24:A30"/>
    <mergeCell ref="B1:AM3"/>
    <mergeCell ref="B40:F40"/>
    <mergeCell ref="B9:F9"/>
    <mergeCell ref="D34:F34"/>
    <mergeCell ref="B30:F30"/>
    <mergeCell ref="B33:C33"/>
    <mergeCell ref="B20:F20"/>
    <mergeCell ref="B5:C5"/>
    <mergeCell ref="AL34:AL35"/>
    <mergeCell ref="B36:F36"/>
    <mergeCell ref="AL15:AL16"/>
    <mergeCell ref="A6:A12"/>
    <mergeCell ref="AL6:AL7"/>
    <mergeCell ref="D6:F6"/>
    <mergeCell ref="B26:F26"/>
  </mergeCells>
  <conditionalFormatting sqref="G6:AK7">
    <cfRule type="expression" priority="15" dxfId="1" stopIfTrue="1">
      <formula>WEEKDAY(G6)=7</formula>
    </cfRule>
    <cfRule type="expression" priority="16" dxfId="0" stopIfTrue="1">
      <formula>WEEKDAY(G6)=1</formula>
    </cfRule>
  </conditionalFormatting>
  <conditionalFormatting sqref="G15:AK16">
    <cfRule type="expression" priority="11" dxfId="1" stopIfTrue="1">
      <formula>WEEKDAY(G15)=7</formula>
    </cfRule>
    <cfRule type="expression" priority="12" dxfId="0" stopIfTrue="1">
      <formula>WEEKDAY(G15)=1</formula>
    </cfRule>
  </conditionalFormatting>
  <conditionalFormatting sqref="G24:AK25">
    <cfRule type="expression" priority="7" dxfId="1" stopIfTrue="1">
      <formula>WEEKDAY(G24)=7</formula>
    </cfRule>
    <cfRule type="expression" priority="8" dxfId="0" stopIfTrue="1">
      <formula>WEEKDAY(G24)=1</formula>
    </cfRule>
  </conditionalFormatting>
  <conditionalFormatting sqref="G34:AK35">
    <cfRule type="expression" priority="3" dxfId="1" stopIfTrue="1">
      <formula>WEEKDAY(G34)=7</formula>
    </cfRule>
    <cfRule type="expression" priority="4" dxfId="0" stopIfTrue="1">
      <formula>WEEKDAY(G34)=1</formula>
    </cfRule>
  </conditionalFormatting>
  <conditionalFormatting sqref="AL6">
    <cfRule type="expression" priority="13" dxfId="1" stopIfTrue="1">
      <formula>WEEKDAY(AL6)=7</formula>
    </cfRule>
    <cfRule type="expression" priority="14" dxfId="0" stopIfTrue="1">
      <formula>WEEKDAY(AL6)=1</formula>
    </cfRule>
  </conditionalFormatting>
  <conditionalFormatting sqref="AL15">
    <cfRule type="expression" priority="9" dxfId="1" stopIfTrue="1">
      <formula>WEEKDAY(AL15)=7</formula>
    </cfRule>
    <cfRule type="expression" priority="10" dxfId="0" stopIfTrue="1">
      <formula>WEEKDAY(AL15)=1</formula>
    </cfRule>
  </conditionalFormatting>
  <conditionalFormatting sqref="AL24">
    <cfRule type="expression" priority="5" dxfId="1" stopIfTrue="1">
      <formula>WEEKDAY(AL24)=7</formula>
    </cfRule>
    <cfRule type="expression" priority="6" dxfId="0" stopIfTrue="1">
      <formula>WEEKDAY(AL24)=1</formula>
    </cfRule>
  </conditionalFormatting>
  <conditionalFormatting sqref="AL34">
    <cfRule type="expression" priority="1" dxfId="1" stopIfTrue="1">
      <formula>WEEKDAY(AL34)=7</formula>
    </cfRule>
    <cfRule type="expression" priority="2" dxfId="0" stopIfTrue="1">
      <formula>WEEKDAY(AL34)=1</formula>
    </cfRule>
  </conditionalFormatting>
  <printOptions horizontalCentered="1"/>
  <pageMargins left="0.17" right="0.17" top="0.17" bottom="0.17" header="0.17" footer="0.17"/>
  <pageSetup orientation="landscape" paperSize="9" scale="27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O49"/>
  <sheetViews>
    <sheetView showGridLines="0" view="pageBreakPreview" zoomScale="60" zoomScaleNormal="100" workbookViewId="0">
      <pane xSplit="6" ySplit="3" topLeftCell="G34" activePane="bottomRight" state="frozen"/>
      <selection pane="topRight" activeCell="G1" sqref="G1"/>
      <selection pane="bottomLeft" activeCell="A4" sqref="A4"/>
      <selection pane="bottomRight" activeCell="Q42" sqref="Q42"/>
    </sheetView>
  </sheetViews>
  <sheetFormatPr baseColWidth="8" defaultColWidth="9" defaultRowHeight="21"/>
  <cols>
    <col width="14.140625" customWidth="1" style="1" min="1" max="1"/>
    <col width="3.7109375" customWidth="1" style="1" min="2" max="2"/>
    <col width="7.5703125" customWidth="1" style="1" min="3" max="3"/>
    <col width="2.5703125" customWidth="1" style="1" min="4" max="4"/>
    <col width="9" customWidth="1" style="1" min="5" max="5"/>
    <col width="21.28515625" customWidth="1" style="1" min="6" max="6"/>
    <col width="10" customWidth="1" style="1" min="7" max="37"/>
    <col width="16" bestFit="1" customWidth="1" style="1" min="38" max="38"/>
    <col width="6" customWidth="1" style="1" min="39" max="39"/>
    <col width="25.140625" customWidth="1" style="2" min="40" max="40"/>
    <col width="16.85546875" customWidth="1" style="20" min="41" max="41"/>
    <col width="3.7109375" customWidth="1" style="127" min="255" max="257"/>
    <col width="2.5703125" customWidth="1" style="127" min="258" max="261"/>
    <col width="3.7109375" customWidth="1" style="127" min="262" max="264"/>
    <col width="4.42578125" customWidth="1" style="127" min="265" max="295"/>
    <col width="9" customWidth="1" style="127" min="296" max="296"/>
    <col width="3.7109375" customWidth="1" style="127" min="511" max="513"/>
    <col width="2.5703125" customWidth="1" style="127" min="514" max="517"/>
    <col width="3.7109375" customWidth="1" style="127" min="518" max="520"/>
    <col width="4.42578125" customWidth="1" style="127" min="521" max="551"/>
    <col width="9" customWidth="1" style="127" min="552" max="552"/>
    <col width="3.7109375" customWidth="1" style="127" min="767" max="769"/>
    <col width="2.5703125" customWidth="1" style="127" min="770" max="773"/>
    <col width="3.7109375" customWidth="1" style="127" min="774" max="776"/>
    <col width="4.42578125" customWidth="1" style="127" min="777" max="807"/>
    <col width="9" customWidth="1" style="127" min="808" max="808"/>
    <col width="3.7109375" customWidth="1" style="127" min="1023" max="1025"/>
    <col width="2.5703125" customWidth="1" style="127" min="1026" max="1029"/>
    <col width="3.7109375" customWidth="1" style="127" min="1030" max="1032"/>
    <col width="4.42578125" customWidth="1" style="127" min="1033" max="1063"/>
    <col width="9" customWidth="1" style="127" min="1064" max="1064"/>
    <col width="3.7109375" customWidth="1" style="127" min="1279" max="1281"/>
    <col width="2.5703125" customWidth="1" style="127" min="1282" max="1285"/>
    <col width="3.7109375" customWidth="1" style="127" min="1286" max="1288"/>
    <col width="4.42578125" customWidth="1" style="127" min="1289" max="1319"/>
    <col width="9" customWidth="1" style="127" min="1320" max="1320"/>
    <col width="3.7109375" customWidth="1" style="127" min="1535" max="1537"/>
    <col width="2.5703125" customWidth="1" style="127" min="1538" max="1541"/>
    <col width="3.7109375" customWidth="1" style="127" min="1542" max="1544"/>
    <col width="4.42578125" customWidth="1" style="127" min="1545" max="1575"/>
    <col width="9" customWidth="1" style="127" min="1576" max="1576"/>
    <col width="3.7109375" customWidth="1" style="127" min="1791" max="1793"/>
    <col width="2.5703125" customWidth="1" style="127" min="1794" max="1797"/>
    <col width="3.7109375" customWidth="1" style="127" min="1798" max="1800"/>
    <col width="4.42578125" customWidth="1" style="127" min="1801" max="1831"/>
    <col width="9" customWidth="1" style="127" min="1832" max="1832"/>
    <col width="3.7109375" customWidth="1" style="127" min="2047" max="2049"/>
    <col width="2.5703125" customWidth="1" style="127" min="2050" max="2053"/>
    <col width="3.7109375" customWidth="1" style="127" min="2054" max="2056"/>
    <col width="4.42578125" customWidth="1" style="127" min="2057" max="2087"/>
    <col width="9" customWidth="1" style="127" min="2088" max="2088"/>
    <col width="3.7109375" customWidth="1" style="127" min="2303" max="2305"/>
    <col width="2.5703125" customWidth="1" style="127" min="2306" max="2309"/>
    <col width="3.7109375" customWidth="1" style="127" min="2310" max="2312"/>
    <col width="4.42578125" customWidth="1" style="127" min="2313" max="2343"/>
    <col width="9" customWidth="1" style="127" min="2344" max="2344"/>
    <col width="3.7109375" customWidth="1" style="127" min="2559" max="2561"/>
    <col width="2.5703125" customWidth="1" style="127" min="2562" max="2565"/>
    <col width="3.7109375" customWidth="1" style="127" min="2566" max="2568"/>
    <col width="4.42578125" customWidth="1" style="127" min="2569" max="2599"/>
    <col width="9" customWidth="1" style="127" min="2600" max="2600"/>
    <col width="3.7109375" customWidth="1" style="127" min="2815" max="2817"/>
    <col width="2.5703125" customWidth="1" style="127" min="2818" max="2821"/>
    <col width="3.7109375" customWidth="1" style="127" min="2822" max="2824"/>
    <col width="4.42578125" customWidth="1" style="127" min="2825" max="2855"/>
    <col width="9" customWidth="1" style="127" min="2856" max="2856"/>
    <col width="3.7109375" customWidth="1" style="127" min="3071" max="3073"/>
    <col width="2.5703125" customWidth="1" style="127" min="3074" max="3077"/>
    <col width="3.7109375" customWidth="1" style="127" min="3078" max="3080"/>
    <col width="4.42578125" customWidth="1" style="127" min="3081" max="3111"/>
    <col width="9" customWidth="1" style="127" min="3112" max="3112"/>
    <col width="3.7109375" customWidth="1" style="127" min="3327" max="3329"/>
    <col width="2.5703125" customWidth="1" style="127" min="3330" max="3333"/>
    <col width="3.7109375" customWidth="1" style="127" min="3334" max="3336"/>
    <col width="4.42578125" customWidth="1" style="127" min="3337" max="3367"/>
    <col width="9" customWidth="1" style="127" min="3368" max="3368"/>
    <col width="3.7109375" customWidth="1" style="127" min="3583" max="3585"/>
    <col width="2.5703125" customWidth="1" style="127" min="3586" max="3589"/>
    <col width="3.7109375" customWidth="1" style="127" min="3590" max="3592"/>
    <col width="4.42578125" customWidth="1" style="127" min="3593" max="3623"/>
    <col width="9" customWidth="1" style="127" min="3624" max="3624"/>
    <col width="3.7109375" customWidth="1" style="127" min="3839" max="3841"/>
    <col width="2.5703125" customWidth="1" style="127" min="3842" max="3845"/>
    <col width="3.7109375" customWidth="1" style="127" min="3846" max="3848"/>
    <col width="4.42578125" customWidth="1" style="127" min="3849" max="3879"/>
    <col width="9" customWidth="1" style="127" min="3880" max="3880"/>
    <col width="3.7109375" customWidth="1" style="127" min="4095" max="4097"/>
    <col width="2.5703125" customWidth="1" style="127" min="4098" max="4101"/>
    <col width="3.7109375" customWidth="1" style="127" min="4102" max="4104"/>
    <col width="4.42578125" customWidth="1" style="127" min="4105" max="4135"/>
    <col width="9" customWidth="1" style="127" min="4136" max="4136"/>
    <col width="3.7109375" customWidth="1" style="127" min="4351" max="4353"/>
    <col width="2.5703125" customWidth="1" style="127" min="4354" max="4357"/>
    <col width="3.7109375" customWidth="1" style="127" min="4358" max="4360"/>
    <col width="4.42578125" customWidth="1" style="127" min="4361" max="4391"/>
    <col width="9" customWidth="1" style="127" min="4392" max="4392"/>
    <col width="3.7109375" customWidth="1" style="127" min="4607" max="4609"/>
    <col width="2.5703125" customWidth="1" style="127" min="4610" max="4613"/>
    <col width="3.7109375" customWidth="1" style="127" min="4614" max="4616"/>
    <col width="4.42578125" customWidth="1" style="127" min="4617" max="4647"/>
    <col width="9" customWidth="1" style="127" min="4648" max="4648"/>
    <col width="3.7109375" customWidth="1" style="127" min="4863" max="4865"/>
    <col width="2.5703125" customWidth="1" style="127" min="4866" max="4869"/>
    <col width="3.7109375" customWidth="1" style="127" min="4870" max="4872"/>
    <col width="4.42578125" customWidth="1" style="127" min="4873" max="4903"/>
    <col width="9" customWidth="1" style="127" min="4904" max="4904"/>
    <col width="3.7109375" customWidth="1" style="127" min="5119" max="5121"/>
    <col width="2.5703125" customWidth="1" style="127" min="5122" max="5125"/>
    <col width="3.7109375" customWidth="1" style="127" min="5126" max="5128"/>
    <col width="4.42578125" customWidth="1" style="127" min="5129" max="5159"/>
    <col width="9" customWidth="1" style="127" min="5160" max="5160"/>
    <col width="3.7109375" customWidth="1" style="127" min="5375" max="5377"/>
    <col width="2.5703125" customWidth="1" style="127" min="5378" max="5381"/>
    <col width="3.7109375" customWidth="1" style="127" min="5382" max="5384"/>
    <col width="4.42578125" customWidth="1" style="127" min="5385" max="5415"/>
    <col width="9" customWidth="1" style="127" min="5416" max="5416"/>
    <col width="3.7109375" customWidth="1" style="127" min="5631" max="5633"/>
    <col width="2.5703125" customWidth="1" style="127" min="5634" max="5637"/>
    <col width="3.7109375" customWidth="1" style="127" min="5638" max="5640"/>
    <col width="4.42578125" customWidth="1" style="127" min="5641" max="5671"/>
    <col width="9" customWidth="1" style="127" min="5672" max="5672"/>
    <col width="3.7109375" customWidth="1" style="127" min="5887" max="5889"/>
    <col width="2.5703125" customWidth="1" style="127" min="5890" max="5893"/>
    <col width="3.7109375" customWidth="1" style="127" min="5894" max="5896"/>
    <col width="4.42578125" customWidth="1" style="127" min="5897" max="5927"/>
    <col width="9" customWidth="1" style="127" min="5928" max="5928"/>
    <col width="3.7109375" customWidth="1" style="127" min="6143" max="6145"/>
    <col width="2.5703125" customWidth="1" style="127" min="6146" max="6149"/>
    <col width="3.7109375" customWidth="1" style="127" min="6150" max="6152"/>
    <col width="4.42578125" customWidth="1" style="127" min="6153" max="6183"/>
    <col width="9" customWidth="1" style="127" min="6184" max="6184"/>
    <col width="3.7109375" customWidth="1" style="127" min="6399" max="6401"/>
    <col width="2.5703125" customWidth="1" style="127" min="6402" max="6405"/>
    <col width="3.7109375" customWidth="1" style="127" min="6406" max="6408"/>
    <col width="4.42578125" customWidth="1" style="127" min="6409" max="6439"/>
    <col width="9" customWidth="1" style="127" min="6440" max="6440"/>
    <col width="3.7109375" customWidth="1" style="127" min="6655" max="6657"/>
    <col width="2.5703125" customWidth="1" style="127" min="6658" max="6661"/>
    <col width="3.7109375" customWidth="1" style="127" min="6662" max="6664"/>
    <col width="4.42578125" customWidth="1" style="127" min="6665" max="6695"/>
    <col width="9" customWidth="1" style="127" min="6696" max="6696"/>
    <col width="3.7109375" customWidth="1" style="127" min="6911" max="6913"/>
    <col width="2.5703125" customWidth="1" style="127" min="6914" max="6917"/>
    <col width="3.7109375" customWidth="1" style="127" min="6918" max="6920"/>
    <col width="4.42578125" customWidth="1" style="127" min="6921" max="6951"/>
    <col width="9" customWidth="1" style="127" min="6952" max="6952"/>
    <col width="3.7109375" customWidth="1" style="127" min="7167" max="7169"/>
    <col width="2.5703125" customWidth="1" style="127" min="7170" max="7173"/>
    <col width="3.7109375" customWidth="1" style="127" min="7174" max="7176"/>
    <col width="4.42578125" customWidth="1" style="127" min="7177" max="7207"/>
    <col width="9" customWidth="1" style="127" min="7208" max="7208"/>
    <col width="3.7109375" customWidth="1" style="127" min="7423" max="7425"/>
    <col width="2.5703125" customWidth="1" style="127" min="7426" max="7429"/>
    <col width="3.7109375" customWidth="1" style="127" min="7430" max="7432"/>
    <col width="4.42578125" customWidth="1" style="127" min="7433" max="7463"/>
    <col width="9" customWidth="1" style="127" min="7464" max="7464"/>
    <col width="3.7109375" customWidth="1" style="127" min="7679" max="7681"/>
    <col width="2.5703125" customWidth="1" style="127" min="7682" max="7685"/>
    <col width="3.7109375" customWidth="1" style="127" min="7686" max="7688"/>
    <col width="4.42578125" customWidth="1" style="127" min="7689" max="7719"/>
    <col width="9" customWidth="1" style="127" min="7720" max="7720"/>
    <col width="3.7109375" customWidth="1" style="127" min="7935" max="7937"/>
    <col width="2.5703125" customWidth="1" style="127" min="7938" max="7941"/>
    <col width="3.7109375" customWidth="1" style="127" min="7942" max="7944"/>
    <col width="4.42578125" customWidth="1" style="127" min="7945" max="7975"/>
    <col width="9" customWidth="1" style="127" min="7976" max="7976"/>
    <col width="3.7109375" customWidth="1" style="127" min="8191" max="8193"/>
    <col width="2.5703125" customWidth="1" style="127" min="8194" max="8197"/>
    <col width="3.7109375" customWidth="1" style="127" min="8198" max="8200"/>
    <col width="4.42578125" customWidth="1" style="127" min="8201" max="8231"/>
    <col width="9" customWidth="1" style="127" min="8232" max="8232"/>
    <col width="3.7109375" customWidth="1" style="127" min="8447" max="8449"/>
    <col width="2.5703125" customWidth="1" style="127" min="8450" max="8453"/>
    <col width="3.7109375" customWidth="1" style="127" min="8454" max="8456"/>
    <col width="4.42578125" customWidth="1" style="127" min="8457" max="8487"/>
    <col width="9" customWidth="1" style="127" min="8488" max="8488"/>
    <col width="3.7109375" customWidth="1" style="127" min="8703" max="8705"/>
    <col width="2.5703125" customWidth="1" style="127" min="8706" max="8709"/>
    <col width="3.7109375" customWidth="1" style="127" min="8710" max="8712"/>
    <col width="4.42578125" customWidth="1" style="127" min="8713" max="8743"/>
    <col width="9" customWidth="1" style="127" min="8744" max="8744"/>
    <col width="3.7109375" customWidth="1" style="127" min="8959" max="8961"/>
    <col width="2.5703125" customWidth="1" style="127" min="8962" max="8965"/>
    <col width="3.7109375" customWidth="1" style="127" min="8966" max="8968"/>
    <col width="4.42578125" customWidth="1" style="127" min="8969" max="8999"/>
    <col width="9" customWidth="1" style="127" min="9000" max="9000"/>
    <col width="3.7109375" customWidth="1" style="127" min="9215" max="9217"/>
    <col width="2.5703125" customWidth="1" style="127" min="9218" max="9221"/>
    <col width="3.7109375" customWidth="1" style="127" min="9222" max="9224"/>
    <col width="4.42578125" customWidth="1" style="127" min="9225" max="9255"/>
    <col width="9" customWidth="1" style="127" min="9256" max="9256"/>
    <col width="3.7109375" customWidth="1" style="127" min="9471" max="9473"/>
    <col width="2.5703125" customWidth="1" style="127" min="9474" max="9477"/>
    <col width="3.7109375" customWidth="1" style="127" min="9478" max="9480"/>
    <col width="4.42578125" customWidth="1" style="127" min="9481" max="9511"/>
    <col width="9" customWidth="1" style="127" min="9512" max="9512"/>
    <col width="3.7109375" customWidth="1" style="127" min="9727" max="9729"/>
    <col width="2.5703125" customWidth="1" style="127" min="9730" max="9733"/>
    <col width="3.7109375" customWidth="1" style="127" min="9734" max="9736"/>
    <col width="4.42578125" customWidth="1" style="127" min="9737" max="9767"/>
    <col width="9" customWidth="1" style="127" min="9768" max="9768"/>
    <col width="3.7109375" customWidth="1" style="127" min="9983" max="9985"/>
    <col width="2.5703125" customWidth="1" style="127" min="9986" max="9989"/>
    <col width="3.7109375" customWidth="1" style="127" min="9990" max="9992"/>
    <col width="4.42578125" customWidth="1" style="127" min="9993" max="10023"/>
    <col width="9" customWidth="1" style="127" min="10024" max="10024"/>
    <col width="3.7109375" customWidth="1" style="127" min="10239" max="10241"/>
    <col width="2.5703125" customWidth="1" style="127" min="10242" max="10245"/>
    <col width="3.7109375" customWidth="1" style="127" min="10246" max="10248"/>
    <col width="4.42578125" customWidth="1" style="127" min="10249" max="10279"/>
    <col width="9" customWidth="1" style="127" min="10280" max="10280"/>
    <col width="3.7109375" customWidth="1" style="127" min="10495" max="10497"/>
    <col width="2.5703125" customWidth="1" style="127" min="10498" max="10501"/>
    <col width="3.7109375" customWidth="1" style="127" min="10502" max="10504"/>
    <col width="4.42578125" customWidth="1" style="127" min="10505" max="10535"/>
    <col width="9" customWidth="1" style="127" min="10536" max="10536"/>
    <col width="3.7109375" customWidth="1" style="127" min="10751" max="10753"/>
    <col width="2.5703125" customWidth="1" style="127" min="10754" max="10757"/>
    <col width="3.7109375" customWidth="1" style="127" min="10758" max="10760"/>
    <col width="4.42578125" customWidth="1" style="127" min="10761" max="10791"/>
    <col width="9" customWidth="1" style="127" min="10792" max="10792"/>
    <col width="3.7109375" customWidth="1" style="127" min="11007" max="11009"/>
    <col width="2.5703125" customWidth="1" style="127" min="11010" max="11013"/>
    <col width="3.7109375" customWidth="1" style="127" min="11014" max="11016"/>
    <col width="4.42578125" customWidth="1" style="127" min="11017" max="11047"/>
    <col width="9" customWidth="1" style="127" min="11048" max="11048"/>
    <col width="3.7109375" customWidth="1" style="127" min="11263" max="11265"/>
    <col width="2.5703125" customWidth="1" style="127" min="11266" max="11269"/>
    <col width="3.7109375" customWidth="1" style="127" min="11270" max="11272"/>
    <col width="4.42578125" customWidth="1" style="127" min="11273" max="11303"/>
    <col width="9" customWidth="1" style="127" min="11304" max="11304"/>
    <col width="3.7109375" customWidth="1" style="127" min="11519" max="11521"/>
    <col width="2.5703125" customWidth="1" style="127" min="11522" max="11525"/>
    <col width="3.7109375" customWidth="1" style="127" min="11526" max="11528"/>
    <col width="4.42578125" customWidth="1" style="127" min="11529" max="11559"/>
    <col width="9" customWidth="1" style="127" min="11560" max="11560"/>
    <col width="3.7109375" customWidth="1" style="127" min="11775" max="11777"/>
    <col width="2.5703125" customWidth="1" style="127" min="11778" max="11781"/>
    <col width="3.7109375" customWidth="1" style="127" min="11782" max="11784"/>
    <col width="4.42578125" customWidth="1" style="127" min="11785" max="11815"/>
    <col width="9" customWidth="1" style="127" min="11816" max="11816"/>
    <col width="3.7109375" customWidth="1" style="127" min="12031" max="12033"/>
    <col width="2.5703125" customWidth="1" style="127" min="12034" max="12037"/>
    <col width="3.7109375" customWidth="1" style="127" min="12038" max="12040"/>
    <col width="4.42578125" customWidth="1" style="127" min="12041" max="12071"/>
    <col width="9" customWidth="1" style="127" min="12072" max="12072"/>
    <col width="3.7109375" customWidth="1" style="127" min="12287" max="12289"/>
    <col width="2.5703125" customWidth="1" style="127" min="12290" max="12293"/>
    <col width="3.7109375" customWidth="1" style="127" min="12294" max="12296"/>
    <col width="4.42578125" customWidth="1" style="127" min="12297" max="12327"/>
    <col width="9" customWidth="1" style="127" min="12328" max="12328"/>
    <col width="3.7109375" customWidth="1" style="127" min="12543" max="12545"/>
    <col width="2.5703125" customWidth="1" style="127" min="12546" max="12549"/>
    <col width="3.7109375" customWidth="1" style="127" min="12550" max="12552"/>
    <col width="4.42578125" customWidth="1" style="127" min="12553" max="12583"/>
    <col width="9" customWidth="1" style="127" min="12584" max="12584"/>
    <col width="3.7109375" customWidth="1" style="127" min="12799" max="12801"/>
    <col width="2.5703125" customWidth="1" style="127" min="12802" max="12805"/>
    <col width="3.7109375" customWidth="1" style="127" min="12806" max="12808"/>
    <col width="4.42578125" customWidth="1" style="127" min="12809" max="12839"/>
    <col width="9" customWidth="1" style="127" min="12840" max="12840"/>
    <col width="3.7109375" customWidth="1" style="127" min="13055" max="13057"/>
    <col width="2.5703125" customWidth="1" style="127" min="13058" max="13061"/>
    <col width="3.7109375" customWidth="1" style="127" min="13062" max="13064"/>
    <col width="4.42578125" customWidth="1" style="127" min="13065" max="13095"/>
    <col width="9" customWidth="1" style="127" min="13096" max="13096"/>
    <col width="3.7109375" customWidth="1" style="127" min="13311" max="13313"/>
    <col width="2.5703125" customWidth="1" style="127" min="13314" max="13317"/>
    <col width="3.7109375" customWidth="1" style="127" min="13318" max="13320"/>
    <col width="4.42578125" customWidth="1" style="127" min="13321" max="13351"/>
    <col width="9" customWidth="1" style="127" min="13352" max="13352"/>
    <col width="3.7109375" customWidth="1" style="127" min="13567" max="13569"/>
    <col width="2.5703125" customWidth="1" style="127" min="13570" max="13573"/>
    <col width="3.7109375" customWidth="1" style="127" min="13574" max="13576"/>
    <col width="4.42578125" customWidth="1" style="127" min="13577" max="13607"/>
    <col width="9" customWidth="1" style="127" min="13608" max="13608"/>
    <col width="3.7109375" customWidth="1" style="127" min="13823" max="13825"/>
    <col width="2.5703125" customWidth="1" style="127" min="13826" max="13829"/>
    <col width="3.7109375" customWidth="1" style="127" min="13830" max="13832"/>
    <col width="4.42578125" customWidth="1" style="127" min="13833" max="13863"/>
    <col width="9" customWidth="1" style="127" min="13864" max="13864"/>
    <col width="3.7109375" customWidth="1" style="127" min="14079" max="14081"/>
    <col width="2.5703125" customWidth="1" style="127" min="14082" max="14085"/>
    <col width="3.7109375" customWidth="1" style="127" min="14086" max="14088"/>
    <col width="4.42578125" customWidth="1" style="127" min="14089" max="14119"/>
    <col width="9" customWidth="1" style="127" min="14120" max="14120"/>
    <col width="3.7109375" customWidth="1" style="127" min="14335" max="14337"/>
    <col width="2.5703125" customWidth="1" style="127" min="14338" max="14341"/>
    <col width="3.7109375" customWidth="1" style="127" min="14342" max="14344"/>
    <col width="4.42578125" customWidth="1" style="127" min="14345" max="14375"/>
    <col width="9" customWidth="1" style="127" min="14376" max="14376"/>
    <col width="3.7109375" customWidth="1" style="127" min="14591" max="14593"/>
    <col width="2.5703125" customWidth="1" style="127" min="14594" max="14597"/>
    <col width="3.7109375" customWidth="1" style="127" min="14598" max="14600"/>
    <col width="4.42578125" customWidth="1" style="127" min="14601" max="14631"/>
    <col width="9" customWidth="1" style="127" min="14632" max="14632"/>
    <col width="3.7109375" customWidth="1" style="127" min="14847" max="14849"/>
    <col width="2.5703125" customWidth="1" style="127" min="14850" max="14853"/>
    <col width="3.7109375" customWidth="1" style="127" min="14854" max="14856"/>
    <col width="4.42578125" customWidth="1" style="127" min="14857" max="14887"/>
    <col width="9" customWidth="1" style="127" min="14888" max="14888"/>
    <col width="3.7109375" customWidth="1" style="127" min="15103" max="15105"/>
    <col width="2.5703125" customWidth="1" style="127" min="15106" max="15109"/>
    <col width="3.7109375" customWidth="1" style="127" min="15110" max="15112"/>
    <col width="4.42578125" customWidth="1" style="127" min="15113" max="15143"/>
    <col width="9" customWidth="1" style="127" min="15144" max="15144"/>
    <col width="3.7109375" customWidth="1" style="127" min="15359" max="15361"/>
    <col width="2.5703125" customWidth="1" style="127" min="15362" max="15365"/>
    <col width="3.7109375" customWidth="1" style="127" min="15366" max="15368"/>
    <col width="4.42578125" customWidth="1" style="127" min="15369" max="15399"/>
    <col width="9" customWidth="1" style="127" min="15400" max="15400"/>
    <col width="3.7109375" customWidth="1" style="127" min="15615" max="15617"/>
    <col width="2.5703125" customWidth="1" style="127" min="15618" max="15621"/>
    <col width="3.7109375" customWidth="1" style="127" min="15622" max="15624"/>
    <col width="4.42578125" customWidth="1" style="127" min="15625" max="15655"/>
    <col width="9" customWidth="1" style="127" min="15656" max="15656"/>
    <col width="3.7109375" customWidth="1" style="127" min="15871" max="15873"/>
    <col width="2.5703125" customWidth="1" style="127" min="15874" max="15877"/>
    <col width="3.7109375" customWidth="1" style="127" min="15878" max="15880"/>
    <col width="4.42578125" customWidth="1" style="127" min="15881" max="15911"/>
    <col width="9" customWidth="1" style="127" min="15912" max="15912"/>
    <col width="3.7109375" customWidth="1" style="127" min="16127" max="16129"/>
    <col width="2.5703125" customWidth="1" style="127" min="16130" max="16133"/>
    <col width="3.7109375" customWidth="1" style="127" min="16134" max="16136"/>
    <col width="4.42578125" customWidth="1" style="127" min="16137" max="16167"/>
    <col width="9" customWidth="1" style="127" min="16168" max="16168"/>
  </cols>
  <sheetData>
    <row r="1" ht="30.75" customHeight="1" s="127">
      <c r="A1" s="10" t="n"/>
      <c r="B1" s="100" t="inlineStr">
        <is>
          <t>LỊCH GIAO HÀNG DO SUNG
DO SUNG会社の納品スケジュール</t>
        </is>
      </c>
    </row>
    <row r="2" ht="55.5" customHeight="1" s="127">
      <c r="A2" s="10" t="n"/>
    </row>
    <row r="3" ht="30.75" customHeight="1" s="127">
      <c r="A3" s="7" t="n"/>
    </row>
    <row r="4" ht="30.75" customHeight="1" s="127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101" t="n"/>
      <c r="AL4" s="7" t="n"/>
      <c r="AM4" s="7" t="n"/>
    </row>
    <row r="5" ht="21" customHeight="1" s="127" thickBot="1">
      <c r="B5" s="85" t="n">
        <v>2026</v>
      </c>
      <c r="D5" s="85" t="inlineStr">
        <is>
          <t>年</t>
        </is>
      </c>
      <c r="E5" s="85" t="n">
        <v>3</v>
      </c>
      <c r="F5" s="29" t="inlineStr">
        <is>
          <t>月</t>
        </is>
      </c>
      <c r="G5" s="8" t="n"/>
      <c r="H5" s="3" t="n"/>
      <c r="I5" s="3" t="n"/>
      <c r="J5" s="5" t="n"/>
      <c r="K5" s="5" t="n"/>
      <c r="L5" s="5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7" t="n"/>
    </row>
    <row r="6" ht="20.25" customFormat="1" customHeight="1" s="11">
      <c r="A6" s="173" t="inlineStr">
        <is>
          <t>mta0002 khớp nối New Jointer PA006</t>
        </is>
      </c>
      <c r="B6" s="106" t="inlineStr">
        <is>
          <t>輸送</t>
        </is>
      </c>
      <c r="C6" s="129" t="n"/>
      <c r="D6" s="107" t="inlineStr">
        <is>
          <t>日</t>
        </is>
      </c>
      <c r="E6" s="130" t="n"/>
      <c r="F6" s="131" t="n"/>
      <c r="G6" s="132">
        <f>DATE(B5,E5,1)</f>
        <v/>
      </c>
      <c r="H6" s="132">
        <f>IF(G6="","",IF(DAY(G6+1)=1,"",G6+1))</f>
        <v/>
      </c>
      <c r="I6" s="132">
        <f>IF(H6="","",IF(DAY(H6+1)=1,"",H6+1))</f>
        <v/>
      </c>
      <c r="J6" s="132">
        <f>IF(I6="","",IF(DAY(I6+1)=1,"",I6+1))</f>
        <v/>
      </c>
      <c r="K6" s="132">
        <f>IF(J6="","",IF(DAY(J6+1)=1,"",J6+1))</f>
        <v/>
      </c>
      <c r="L6" s="132">
        <f>IF(K6="","",IF(DAY(K6+1)=1,"",K6+1))</f>
        <v/>
      </c>
      <c r="M6" s="132">
        <f>IF(L6="","",IF(DAY(L6+1)=1,"",L6+1))</f>
        <v/>
      </c>
      <c r="N6" s="132">
        <f>IF(M6="","",IF(DAY(M6+1)=1,"",M6+1))</f>
        <v/>
      </c>
      <c r="O6" s="132">
        <f>IF(N6="","",IF(DAY(N6+1)=1,"",N6+1))</f>
        <v/>
      </c>
      <c r="P6" s="132">
        <f>IF(O6="","",IF(DAY(O6+1)=1,"",O6+1))</f>
        <v/>
      </c>
      <c r="Q6" s="132">
        <f>IF(P6="","",IF(DAY(P6+1)=1,"",P6+1))</f>
        <v/>
      </c>
      <c r="R6" s="132">
        <f>IF(Q6="","",IF(DAY(Q6+1)=1,"",Q6+1))</f>
        <v/>
      </c>
      <c r="S6" s="132">
        <f>IF(R6="","",IF(DAY(R6+1)=1,"",R6+1))</f>
        <v/>
      </c>
      <c r="T6" s="132">
        <f>IF(S6="","",IF(DAY(S6+1)=1,"",S6+1))</f>
        <v/>
      </c>
      <c r="U6" s="132">
        <f>IF(T6="","",IF(DAY(T6+1)=1,"",T6+1))</f>
        <v/>
      </c>
      <c r="V6" s="132">
        <f>IF(U6="","",IF(DAY(U6+1)=1,"",U6+1))</f>
        <v/>
      </c>
      <c r="W6" s="132">
        <f>IF(V6="","",IF(DAY(V6+1)=1,"",V6+1))</f>
        <v/>
      </c>
      <c r="X6" s="132">
        <f>IF(W6="","",IF(DAY(W6+1)=1,"",W6+1))</f>
        <v/>
      </c>
      <c r="Y6" s="132">
        <f>IF(X6="","",IF(DAY(X6+1)=1,"",X6+1))</f>
        <v/>
      </c>
      <c r="Z6" s="132">
        <f>IF(Y6="","",IF(DAY(Y6+1)=1,"",Y6+1))</f>
        <v/>
      </c>
      <c r="AA6" s="132">
        <f>IF(Z6="","",IF(DAY(Z6+1)=1,"",Z6+1))</f>
        <v/>
      </c>
      <c r="AB6" s="132">
        <f>IF(AA6="","",IF(DAY(AA6+1)=1,"",AA6+1))</f>
        <v/>
      </c>
      <c r="AC6" s="132">
        <f>IF(AB6="","",IF(DAY(AB6+1)=1,"",AB6+1))</f>
        <v/>
      </c>
      <c r="AD6" s="132">
        <f>IF(AC6="","",IF(DAY(AC6+1)=1,"",AC6+1))</f>
        <v/>
      </c>
      <c r="AE6" s="132">
        <f>IF(AD6="","",IF(DAY(AD6+1)=1,"",AD6+1))</f>
        <v/>
      </c>
      <c r="AF6" s="132">
        <f>IF(AE6="","",IF(DAY(AE6+1)=1,"",AE6+1))</f>
        <v/>
      </c>
      <c r="AG6" s="132">
        <f>IF(AF6="","",IF(DAY(AF6+1)=1,"",AF6+1))</f>
        <v/>
      </c>
      <c r="AH6" s="132">
        <f>IF(AG6="","",IF(DAY(AG6+1)=1,"",AG6+1))</f>
        <v/>
      </c>
      <c r="AI6" s="132">
        <f>IF(AH6="","",IF(DAY(AH6+1)=1,"",AH6+1))</f>
        <v/>
      </c>
      <c r="AJ6" s="132">
        <f>IF(AI6="","",IF(DAY(AI6+1)=1,"",AI6+1))</f>
        <v/>
      </c>
      <c r="AK6" s="132">
        <f>IF(AJ6="","",IF(DAY(AJ6+1)=1,"",AJ6+1))</f>
        <v/>
      </c>
      <c r="AL6" s="133" t="inlineStr">
        <is>
          <t>Total</t>
        </is>
      </c>
      <c r="AM6" s="7" t="n"/>
      <c r="AN6" s="21" t="n"/>
      <c r="AO6" s="20" t="n"/>
    </row>
    <row r="7" ht="20.25" customFormat="1" customHeight="1" s="11">
      <c r="A7" s="134" t="n"/>
      <c r="B7" s="135" t="n"/>
      <c r="C7" s="136" t="n"/>
      <c r="D7" s="102" t="inlineStr">
        <is>
          <t>時間</t>
        </is>
      </c>
      <c r="E7" s="137" t="n"/>
      <c r="F7" s="138" t="n"/>
      <c r="G7" s="139">
        <f>+G6</f>
        <v/>
      </c>
      <c r="H7" s="139">
        <f>+H6</f>
        <v/>
      </c>
      <c r="I7" s="139">
        <f>+I6</f>
        <v/>
      </c>
      <c r="J7" s="139">
        <f>+J6</f>
        <v/>
      </c>
      <c r="K7" s="139">
        <f>+K6</f>
        <v/>
      </c>
      <c r="L7" s="139">
        <f>+L6</f>
        <v/>
      </c>
      <c r="M7" s="139">
        <f>+M6</f>
        <v/>
      </c>
      <c r="N7" s="139">
        <f>+N6</f>
        <v/>
      </c>
      <c r="O7" s="139">
        <f>+O6</f>
        <v/>
      </c>
      <c r="P7" s="139">
        <f>+P6</f>
        <v/>
      </c>
      <c r="Q7" s="139">
        <f>+Q6</f>
        <v/>
      </c>
      <c r="R7" s="139">
        <f>+R6</f>
        <v/>
      </c>
      <c r="S7" s="139">
        <f>+S6</f>
        <v/>
      </c>
      <c r="T7" s="139">
        <f>+T6</f>
        <v/>
      </c>
      <c r="U7" s="139">
        <f>+U6</f>
        <v/>
      </c>
      <c r="V7" s="139">
        <f>+V6</f>
        <v/>
      </c>
      <c r="W7" s="139">
        <f>+W6</f>
        <v/>
      </c>
      <c r="X7" s="139">
        <f>+X6</f>
        <v/>
      </c>
      <c r="Y7" s="139">
        <f>+Y6</f>
        <v/>
      </c>
      <c r="Z7" s="139">
        <f>+Z6</f>
        <v/>
      </c>
      <c r="AA7" s="139">
        <f>+AA6</f>
        <v/>
      </c>
      <c r="AB7" s="139">
        <f>+AB6</f>
        <v/>
      </c>
      <c r="AC7" s="139">
        <f>+AC6</f>
        <v/>
      </c>
      <c r="AD7" s="139">
        <f>+AD6</f>
        <v/>
      </c>
      <c r="AE7" s="139">
        <f>+AE6</f>
        <v/>
      </c>
      <c r="AF7" s="139">
        <f>+AF6</f>
        <v/>
      </c>
      <c r="AG7" s="139">
        <f>+AG6</f>
        <v/>
      </c>
      <c r="AH7" s="139">
        <f>+AH6</f>
        <v/>
      </c>
      <c r="AI7" s="139">
        <f>+AI6</f>
        <v/>
      </c>
      <c r="AJ7" s="139">
        <f>+AJ6</f>
        <v/>
      </c>
      <c r="AK7" s="139">
        <f>+AK6</f>
        <v/>
      </c>
      <c r="AL7" s="140" t="n"/>
      <c r="AN7" s="21" t="n"/>
      <c r="AO7" s="20" t="n"/>
    </row>
    <row r="8" ht="56.25" customFormat="1" customHeight="1" s="11">
      <c r="A8" s="134" t="n"/>
      <c r="B8" s="174" t="inlineStr">
        <is>
          <t>PO 注文書</t>
        </is>
      </c>
      <c r="C8" s="142" t="n"/>
      <c r="D8" s="142" t="n"/>
      <c r="E8" s="142" t="n"/>
      <c r="F8" s="143" t="n"/>
      <c r="G8" s="144" t="n"/>
      <c r="H8" s="145" t="n"/>
      <c r="I8" s="144" t="n"/>
      <c r="J8" s="145" t="n"/>
      <c r="K8" s="145" t="n"/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/>
      <c r="U8" s="145" t="n"/>
      <c r="V8" s="145" t="n">
        <v>2000</v>
      </c>
      <c r="W8" s="145" t="n"/>
      <c r="X8" s="145" t="n"/>
      <c r="Y8" s="145" t="n"/>
      <c r="Z8" s="145" t="n"/>
      <c r="AA8" s="145" t="n"/>
      <c r="AB8" s="145" t="n"/>
      <c r="AC8" s="145" t="n"/>
      <c r="AD8" s="145" t="n"/>
      <c r="AE8" s="145" t="n"/>
      <c r="AF8" s="145" t="n"/>
      <c r="AG8" s="145" t="n"/>
      <c r="AH8" s="145" t="n"/>
      <c r="AI8" s="145" t="n"/>
      <c r="AJ8" s="145" t="n"/>
      <c r="AK8" s="145" t="n"/>
      <c r="AL8" s="146">
        <f>SUM(G8:AK8)</f>
        <v/>
      </c>
      <c r="AN8" s="147" t="inlineStr">
        <is>
          <t>Tồn PO
注文の 残量</t>
        </is>
      </c>
      <c r="AO8" s="148">
        <f>AL8-AO9</f>
        <v/>
      </c>
    </row>
    <row r="9" ht="56.25" customHeight="1" s="127">
      <c r="A9" s="134" t="n"/>
      <c r="B9" s="111" t="inlineStr">
        <is>
          <t xml:space="preserve">計画数量
kế hoạch </t>
        </is>
      </c>
      <c r="C9" s="149" t="n"/>
      <c r="D9" s="149" t="n"/>
      <c r="E9" s="149" t="n"/>
      <c r="F9" s="150" t="n"/>
      <c r="G9" s="144" t="n"/>
      <c r="H9" s="144" t="n"/>
      <c r="I9" s="144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  <c r="AA9" s="145" t="n"/>
      <c r="AB9" s="145" t="n"/>
      <c r="AC9" s="145" t="n"/>
      <c r="AD9" s="145" t="n"/>
      <c r="AE9" s="145" t="n"/>
      <c r="AF9" s="145" t="n"/>
      <c r="AG9" s="145" t="n"/>
      <c r="AH9" s="145" t="n"/>
      <c r="AI9" s="145" t="n"/>
      <c r="AJ9" s="145" t="n"/>
      <c r="AK9" s="145" t="n"/>
      <c r="AL9" s="151">
        <f>SUM(G9:AK9)</f>
        <v/>
      </c>
      <c r="AM9" s="0" t="n"/>
      <c r="AN9" s="24" t="inlineStr">
        <is>
          <t>Tổng nhập 総入荷数量
（A)-(B)+(C)</t>
        </is>
      </c>
      <c r="AO9" s="152">
        <f>AL10-AL11+AL12</f>
        <v/>
      </c>
    </row>
    <row r="10" ht="56.25" customHeight="1" s="127">
      <c r="A10" s="134" t="n"/>
      <c r="B10" s="111" t="inlineStr">
        <is>
          <t>実際の納品数量
số lượng thực nhập</t>
        </is>
      </c>
      <c r="C10" s="149" t="n"/>
      <c r="D10" s="149" t="n"/>
      <c r="E10" s="149" t="n"/>
      <c r="F10" s="150" t="n"/>
      <c r="G10" s="153" t="n"/>
      <c r="H10" s="153" t="n"/>
      <c r="I10" s="154" t="n"/>
      <c r="J10" s="145" t="n"/>
      <c r="K10" s="156" t="n"/>
      <c r="L10" s="156" t="n"/>
      <c r="M10" s="155" t="n"/>
      <c r="N10" s="155" t="n"/>
      <c r="O10" s="155" t="n"/>
      <c r="P10" s="155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5" t="n"/>
      <c r="AD10" s="155" t="n"/>
      <c r="AE10" s="156" t="n"/>
      <c r="AF10" s="156" t="n"/>
      <c r="AG10" s="155" t="n"/>
      <c r="AH10" s="155" t="n"/>
      <c r="AI10" s="156" t="n"/>
      <c r="AJ10" s="156" t="n"/>
      <c r="AK10" s="156" t="n"/>
      <c r="AL10" s="157">
        <f>SUM(G10:AK10)</f>
        <v/>
      </c>
      <c r="AM10" s="6" t="inlineStr">
        <is>
          <t>(A)</t>
        </is>
      </c>
      <c r="AN10" s="24" t="inlineStr">
        <is>
          <t>Số lượng chưa khai tháng trước 先月まだ税関に申告されていない数量</t>
        </is>
      </c>
      <c r="AO10" s="148" t="n"/>
    </row>
    <row r="11" ht="56.25" customHeight="1" s="127">
      <c r="A11" s="134" t="n"/>
      <c r="B11" s="111" t="inlineStr">
        <is>
          <t>NG数量（DO SUNG 社変更済）
số lượng NG (Trả hàng DO SUNG)</t>
        </is>
      </c>
      <c r="C11" s="149" t="n"/>
      <c r="D11" s="149" t="n"/>
      <c r="E11" s="149" t="n"/>
      <c r="F11" s="150" t="n"/>
      <c r="G11" s="144" t="n"/>
      <c r="H11" s="144" t="n"/>
      <c r="I11" s="144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  <c r="AC11" s="145" t="n"/>
      <c r="AD11" s="145" t="n"/>
      <c r="AE11" s="145" t="n"/>
      <c r="AF11" s="145" t="n"/>
      <c r="AG11" s="145" t="n"/>
      <c r="AH11" s="145" t="n"/>
      <c r="AI11" s="145" t="n"/>
      <c r="AJ11" s="145" t="n"/>
      <c r="AK11" s="145" t="n"/>
      <c r="AL11" s="158">
        <f>SUM(G11:AK11)</f>
        <v/>
      </c>
      <c r="AM11" s="6" t="inlineStr">
        <is>
          <t>(B)</t>
        </is>
      </c>
      <c r="AN11" s="24" t="inlineStr">
        <is>
          <t>Số lượng đã khai tháng này 今月税関に申告された数量</t>
        </is>
      </c>
      <c r="AO11" s="26" t="n">
        <v>700</v>
      </c>
    </row>
    <row r="12" ht="56.25" customHeight="1" s="127" thickBot="1">
      <c r="A12" s="159" t="n"/>
      <c r="B12" s="109" t="inlineStr">
        <is>
          <t>NG数量（ドンスン　社しゅり済）
số lượng NG (DO SUNG đã sửa )</t>
        </is>
      </c>
      <c r="C12" s="160" t="n"/>
      <c r="D12" s="160" t="n"/>
      <c r="E12" s="160" t="n"/>
      <c r="F12" s="161" t="n"/>
      <c r="G12" s="162" t="n"/>
      <c r="H12" s="162" t="n"/>
      <c r="I12" s="163" t="n"/>
      <c r="J12" s="164" t="n"/>
      <c r="K12" s="165" t="n"/>
      <c r="L12" s="164" t="n"/>
      <c r="M12" s="164" t="n"/>
      <c r="N12" s="164" t="n"/>
      <c r="O12" s="164" t="n"/>
      <c r="P12" s="164" t="n"/>
      <c r="Q12" s="164" t="n"/>
      <c r="R12" s="165" t="n"/>
      <c r="S12" s="164" t="n"/>
      <c r="T12" s="164" t="n"/>
      <c r="U12" s="164" t="n"/>
      <c r="V12" s="164" t="n"/>
      <c r="W12" s="164" t="n"/>
      <c r="X12" s="164" t="n"/>
      <c r="Y12" s="165" t="n"/>
      <c r="Z12" s="164" t="n"/>
      <c r="AA12" s="164" t="n"/>
      <c r="AB12" s="164" t="n"/>
      <c r="AC12" s="164" t="n"/>
      <c r="AD12" s="164" t="n"/>
      <c r="AE12" s="165" t="n"/>
      <c r="AF12" s="165" t="n"/>
      <c r="AG12" s="164" t="n"/>
      <c r="AH12" s="164" t="n"/>
      <c r="AI12" s="164" t="n"/>
      <c r="AJ12" s="165" t="n"/>
      <c r="AK12" s="165" t="n"/>
      <c r="AL12" s="166">
        <f>SUM(G12:AK12)</f>
        <v/>
      </c>
      <c r="AM12" s="6" t="inlineStr">
        <is>
          <t>(C)</t>
        </is>
      </c>
      <c r="AN12" s="24" t="inlineStr">
        <is>
          <t>Số lượng còn lại chưa khai 残りの数量はまだ税関に申告されていません</t>
        </is>
      </c>
      <c r="AO12" s="148">
        <f>AO10+AO9-AO11</f>
        <v/>
      </c>
    </row>
    <row r="14" ht="21" customHeight="1" s="127" thickBot="1">
      <c r="B14" s="85" t="n">
        <v>2026</v>
      </c>
      <c r="D14" s="85" t="inlineStr">
        <is>
          <t>年</t>
        </is>
      </c>
      <c r="E14" s="85" t="n">
        <v>4</v>
      </c>
      <c r="F14" s="29" t="inlineStr">
        <is>
          <t>月</t>
        </is>
      </c>
      <c r="G14" s="8" t="n"/>
      <c r="H14" s="3" t="n"/>
      <c r="I14" s="3" t="n"/>
      <c r="J14" s="5" t="n"/>
      <c r="K14" s="5" t="n"/>
      <c r="L14" s="5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7" t="n"/>
    </row>
    <row r="15" ht="20.25" customFormat="1" customHeight="1" s="11">
      <c r="A15" s="173" t="inlineStr">
        <is>
          <t>mta0002 khớp nối New Jointer PA006</t>
        </is>
      </c>
      <c r="B15" s="106" t="inlineStr">
        <is>
          <t>輸送</t>
        </is>
      </c>
      <c r="C15" s="129" t="n"/>
      <c r="D15" s="107" t="inlineStr">
        <is>
          <t>日</t>
        </is>
      </c>
      <c r="E15" s="130" t="n"/>
      <c r="F15" s="131" t="n"/>
      <c r="G15" s="132">
        <f>DATE(B14,E14,1)</f>
        <v/>
      </c>
      <c r="H15" s="132">
        <f>IF(G15="","",IF(DAY(G15+1)=1,"",G15+1))</f>
        <v/>
      </c>
      <c r="I15" s="132">
        <f>IF(H15="","",IF(DAY(H15+1)=1,"",H15+1))</f>
        <v/>
      </c>
      <c r="J15" s="132">
        <f>IF(I15="","",IF(DAY(I15+1)=1,"",I15+1))</f>
        <v/>
      </c>
      <c r="K15" s="132">
        <f>IF(J15="","",IF(DAY(J15+1)=1,"",J15+1))</f>
        <v/>
      </c>
      <c r="L15" s="132">
        <f>IF(K15="","",IF(DAY(K15+1)=1,"",K15+1))</f>
        <v/>
      </c>
      <c r="M15" s="132">
        <f>IF(L15="","",IF(DAY(L15+1)=1,"",L15+1))</f>
        <v/>
      </c>
      <c r="N15" s="132">
        <f>IF(M15="","",IF(DAY(M15+1)=1,"",M15+1))</f>
        <v/>
      </c>
      <c r="O15" s="132">
        <f>IF(N15="","",IF(DAY(N15+1)=1,"",N15+1))</f>
        <v/>
      </c>
      <c r="P15" s="132">
        <f>IF(O15="","",IF(DAY(O15+1)=1,"",O15+1))</f>
        <v/>
      </c>
      <c r="Q15" s="132">
        <f>IF(P15="","",IF(DAY(P15+1)=1,"",P15+1))</f>
        <v/>
      </c>
      <c r="R15" s="132">
        <f>IF(Q15="","",IF(DAY(Q15+1)=1,"",Q15+1))</f>
        <v/>
      </c>
      <c r="S15" s="132">
        <f>IF(R15="","",IF(DAY(R15+1)=1,"",R15+1))</f>
        <v/>
      </c>
      <c r="T15" s="132">
        <f>IF(S15="","",IF(DAY(S15+1)=1,"",S15+1))</f>
        <v/>
      </c>
      <c r="U15" s="132">
        <f>IF(T15="","",IF(DAY(T15+1)=1,"",T15+1))</f>
        <v/>
      </c>
      <c r="V15" s="132">
        <f>IF(U15="","",IF(DAY(U15+1)=1,"",U15+1))</f>
        <v/>
      </c>
      <c r="W15" s="132">
        <f>IF(V15="","",IF(DAY(V15+1)=1,"",V15+1))</f>
        <v/>
      </c>
      <c r="X15" s="132">
        <f>IF(W15="","",IF(DAY(W15+1)=1,"",W15+1))</f>
        <v/>
      </c>
      <c r="Y15" s="132">
        <f>IF(X15="","",IF(DAY(X15+1)=1,"",X15+1))</f>
        <v/>
      </c>
      <c r="Z15" s="132">
        <f>IF(Y15="","",IF(DAY(Y15+1)=1,"",Y15+1))</f>
        <v/>
      </c>
      <c r="AA15" s="132">
        <f>IF(Z15="","",IF(DAY(Z15+1)=1,"",Z15+1))</f>
        <v/>
      </c>
      <c r="AB15" s="132">
        <f>IF(AA15="","",IF(DAY(AA15+1)=1,"",AA15+1))</f>
        <v/>
      </c>
      <c r="AC15" s="132">
        <f>IF(AB15="","",IF(DAY(AB15+1)=1,"",AB15+1))</f>
        <v/>
      </c>
      <c r="AD15" s="132">
        <f>IF(AC15="","",IF(DAY(AC15+1)=1,"",AC15+1))</f>
        <v/>
      </c>
      <c r="AE15" s="132">
        <f>IF(AD15="","",IF(DAY(AD15+1)=1,"",AD15+1))</f>
        <v/>
      </c>
      <c r="AF15" s="132">
        <f>IF(AE15="","",IF(DAY(AE15+1)=1,"",AE15+1))</f>
        <v/>
      </c>
      <c r="AG15" s="132">
        <f>IF(AF15="","",IF(DAY(AF15+1)=1,"",AF15+1))</f>
        <v/>
      </c>
      <c r="AH15" s="132">
        <f>IF(AG15="","",IF(DAY(AG15+1)=1,"",AG15+1))</f>
        <v/>
      </c>
      <c r="AI15" s="132">
        <f>IF(AH15="","",IF(DAY(AH15+1)=1,"",AH15+1))</f>
        <v/>
      </c>
      <c r="AJ15" s="132">
        <f>IF(AI15="","",IF(DAY(AI15+1)=1,"",AI15+1))</f>
        <v/>
      </c>
      <c r="AK15" s="132">
        <f>IF(AJ15="","",IF(DAY(AJ15+1)=1,"",AJ15+1))</f>
        <v/>
      </c>
      <c r="AL15" s="133" t="inlineStr">
        <is>
          <t>Total</t>
        </is>
      </c>
      <c r="AM15" s="7" t="n"/>
      <c r="AN15" s="21" t="n"/>
      <c r="AO15" s="20" t="n"/>
    </row>
    <row r="16" ht="20.25" customFormat="1" customHeight="1" s="11">
      <c r="A16" s="134" t="n"/>
      <c r="B16" s="135" t="n"/>
      <c r="C16" s="136" t="n"/>
      <c r="D16" s="102" t="inlineStr">
        <is>
          <t>時間</t>
        </is>
      </c>
      <c r="E16" s="137" t="n"/>
      <c r="F16" s="138" t="n"/>
      <c r="G16" s="139">
        <f>+G15</f>
        <v/>
      </c>
      <c r="H16" s="139">
        <f>+H15</f>
        <v/>
      </c>
      <c r="I16" s="139">
        <f>+I15</f>
        <v/>
      </c>
      <c r="J16" s="139">
        <f>+J15</f>
        <v/>
      </c>
      <c r="K16" s="139">
        <f>+K15</f>
        <v/>
      </c>
      <c r="L16" s="139">
        <f>+L15</f>
        <v/>
      </c>
      <c r="M16" s="139">
        <f>+M15</f>
        <v/>
      </c>
      <c r="N16" s="139">
        <f>+N15</f>
        <v/>
      </c>
      <c r="O16" s="139">
        <f>+O15</f>
        <v/>
      </c>
      <c r="P16" s="139">
        <f>+P15</f>
        <v/>
      </c>
      <c r="Q16" s="139">
        <f>+Q15</f>
        <v/>
      </c>
      <c r="R16" s="139">
        <f>+R15</f>
        <v/>
      </c>
      <c r="S16" s="139">
        <f>+S15</f>
        <v/>
      </c>
      <c r="T16" s="139">
        <f>+T15</f>
        <v/>
      </c>
      <c r="U16" s="139">
        <f>+U15</f>
        <v/>
      </c>
      <c r="V16" s="139">
        <f>+V15</f>
        <v/>
      </c>
      <c r="W16" s="139">
        <f>+W15</f>
        <v/>
      </c>
      <c r="X16" s="139">
        <f>+X15</f>
        <v/>
      </c>
      <c r="Y16" s="139">
        <f>+Y15</f>
        <v/>
      </c>
      <c r="Z16" s="139">
        <f>+Z15</f>
        <v/>
      </c>
      <c r="AA16" s="139">
        <f>+AA15</f>
        <v/>
      </c>
      <c r="AB16" s="139">
        <f>+AB15</f>
        <v/>
      </c>
      <c r="AC16" s="139">
        <f>+AC15</f>
        <v/>
      </c>
      <c r="AD16" s="139">
        <f>+AD15</f>
        <v/>
      </c>
      <c r="AE16" s="139">
        <f>+AE15</f>
        <v/>
      </c>
      <c r="AF16" s="139">
        <f>+AF15</f>
        <v/>
      </c>
      <c r="AG16" s="139">
        <f>+AG15</f>
        <v/>
      </c>
      <c r="AH16" s="139">
        <f>+AH15</f>
        <v/>
      </c>
      <c r="AI16" s="139">
        <f>+AI15</f>
        <v/>
      </c>
      <c r="AJ16" s="139">
        <f>+AJ15</f>
        <v/>
      </c>
      <c r="AK16" s="139">
        <f>+AK15</f>
        <v/>
      </c>
      <c r="AL16" s="140" t="n"/>
      <c r="AN16" s="21" t="n"/>
      <c r="AO16" s="20" t="n"/>
    </row>
    <row r="17" ht="56.25" customFormat="1" customHeight="1" s="11">
      <c r="A17" s="134" t="n"/>
      <c r="B17" s="174" t="inlineStr">
        <is>
          <t>PO 注文書</t>
        </is>
      </c>
      <c r="C17" s="142" t="n"/>
      <c r="D17" s="142" t="n"/>
      <c r="E17" s="142" t="n"/>
      <c r="F17" s="143" t="n"/>
      <c r="G17" s="144" t="n"/>
      <c r="H17" s="145" t="n"/>
      <c r="I17" s="144" t="n"/>
      <c r="J17" s="145" t="n"/>
      <c r="K17" s="145" t="n"/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  <c r="AA17" s="145" t="n"/>
      <c r="AB17" s="145" t="n"/>
      <c r="AC17" s="145" t="n"/>
      <c r="AD17" s="145" t="n"/>
      <c r="AE17" s="145" t="n"/>
      <c r="AF17" s="145" t="n"/>
      <c r="AG17" s="145" t="n"/>
      <c r="AH17" s="145" t="n"/>
      <c r="AI17" s="145" t="n"/>
      <c r="AJ17" s="145" t="n"/>
      <c r="AK17" s="145" t="n"/>
      <c r="AL17" s="146">
        <f>SUM(G17:AK17)</f>
        <v/>
      </c>
      <c r="AN17" s="147" t="inlineStr">
        <is>
          <t>Tồn PO
注文の 残量</t>
        </is>
      </c>
      <c r="AO17" s="148">
        <f>AO8+AL17-AO18</f>
        <v/>
      </c>
    </row>
    <row r="18" ht="56.25" customHeight="1" s="127">
      <c r="A18" s="134" t="n"/>
      <c r="B18" s="111" t="inlineStr">
        <is>
          <t xml:space="preserve">計画数量
kế hoạch </t>
        </is>
      </c>
      <c r="C18" s="149" t="n"/>
      <c r="D18" s="149" t="n"/>
      <c r="E18" s="149" t="n"/>
      <c r="F18" s="150" t="n"/>
      <c r="G18" s="144" t="n"/>
      <c r="H18" s="144" t="n"/>
      <c r="I18" s="144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  <c r="AA18" s="145" t="n"/>
      <c r="AB18" s="145" t="n"/>
      <c r="AC18" s="145" t="n"/>
      <c r="AD18" s="145" t="n"/>
      <c r="AE18" s="145" t="n"/>
      <c r="AF18" s="145" t="n"/>
      <c r="AG18" s="145" t="n"/>
      <c r="AH18" s="145" t="n"/>
      <c r="AI18" s="145" t="n"/>
      <c r="AJ18" s="145" t="n"/>
      <c r="AK18" s="145" t="n"/>
      <c r="AL18" s="151">
        <f>SUM(G18:AK18)</f>
        <v/>
      </c>
      <c r="AM18" s="0" t="n"/>
      <c r="AN18" s="24" t="inlineStr">
        <is>
          <t>Tổng nhập 総入荷数量
（A)-(B)+(C)</t>
        </is>
      </c>
      <c r="AO18" s="152">
        <f>AL19-AL20+AL21</f>
        <v/>
      </c>
    </row>
    <row r="19" ht="56.25" customHeight="1" s="127">
      <c r="A19" s="134" t="n"/>
      <c r="B19" s="111" t="inlineStr">
        <is>
          <t>実際の納品数量
số lượng thực nhập</t>
        </is>
      </c>
      <c r="C19" s="149" t="n"/>
      <c r="D19" s="149" t="n"/>
      <c r="E19" s="149" t="n"/>
      <c r="F19" s="150" t="n"/>
      <c r="G19" s="153" t="n"/>
      <c r="H19" s="153" t="n"/>
      <c r="I19" s="154" t="n">
        <v>700</v>
      </c>
      <c r="J19" s="145" t="n"/>
      <c r="K19" s="156" t="n"/>
      <c r="L19" s="156" t="n"/>
      <c r="M19" s="155" t="n"/>
      <c r="N19" s="155" t="n">
        <v>280</v>
      </c>
      <c r="O19" s="155" t="n">
        <v>440</v>
      </c>
      <c r="P19" s="155" t="n">
        <v>155</v>
      </c>
      <c r="Q19" s="156" t="n"/>
      <c r="R19" s="156" t="n"/>
      <c r="S19" s="156" t="n"/>
      <c r="T19" s="156" t="n"/>
      <c r="U19" s="156" t="n"/>
      <c r="V19" s="156" t="n"/>
      <c r="W19" s="156" t="n"/>
      <c r="X19" s="156" t="n"/>
      <c r="Y19" s="156" t="n"/>
      <c r="Z19" s="156" t="n"/>
      <c r="AA19" s="156" t="n"/>
      <c r="AB19" s="156" t="n"/>
      <c r="AC19" s="155" t="n"/>
      <c r="AD19" s="155" t="n"/>
      <c r="AE19" s="156" t="n"/>
      <c r="AF19" s="156" t="n"/>
      <c r="AG19" s="155" t="n">
        <v>114</v>
      </c>
      <c r="AH19" s="155" t="n">
        <v>210</v>
      </c>
      <c r="AI19" s="156" t="n"/>
      <c r="AJ19" s="156" t="n"/>
      <c r="AK19" s="156" t="n"/>
      <c r="AL19" s="157">
        <f>SUM(G19:AK19)</f>
        <v/>
      </c>
      <c r="AM19" s="6" t="inlineStr">
        <is>
          <t>(A)</t>
        </is>
      </c>
      <c r="AN19" s="24" t="inlineStr">
        <is>
          <t>Số lượng chưa khai tháng trước 先月まだ税関に申告されていない数量</t>
        </is>
      </c>
      <c r="AO19" s="148">
        <f>AO12</f>
        <v/>
      </c>
    </row>
    <row r="20" ht="56.25" customHeight="1" s="127">
      <c r="A20" s="134" t="n"/>
      <c r="B20" s="111" t="inlineStr">
        <is>
          <t>NG数量（DO SUNG 社変更済）
số lượng NG (Trả hàng DO SUNG)</t>
        </is>
      </c>
      <c r="C20" s="149" t="n"/>
      <c r="D20" s="149" t="n"/>
      <c r="E20" s="149" t="n"/>
      <c r="F20" s="150" t="n"/>
      <c r="G20" s="144" t="n"/>
      <c r="H20" s="144" t="n"/>
      <c r="I20" s="144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5" t="n"/>
      <c r="AF20" s="145" t="n"/>
      <c r="AG20" s="145" t="n"/>
      <c r="AH20" s="145" t="n"/>
      <c r="AI20" s="145" t="n"/>
      <c r="AJ20" s="145" t="n"/>
      <c r="AK20" s="145" t="n"/>
      <c r="AL20" s="158">
        <f>SUM(G20:AK20)</f>
        <v/>
      </c>
      <c r="AM20" s="6" t="inlineStr">
        <is>
          <t>(B)</t>
        </is>
      </c>
      <c r="AN20" s="24" t="inlineStr">
        <is>
          <t>Số lượng đã khai tháng này 今月税関に申告された数量</t>
        </is>
      </c>
      <c r="AO20" s="26" t="n">
        <v>1300</v>
      </c>
    </row>
    <row r="21" ht="56.25" customHeight="1" s="127" thickBot="1">
      <c r="A21" s="159" t="n"/>
      <c r="B21" s="109" t="inlineStr">
        <is>
          <t>NG数量（ドンスン　社しゅり済）
số lượng NG (DO SUNG đã sửa )</t>
        </is>
      </c>
      <c r="C21" s="160" t="n"/>
      <c r="D21" s="160" t="n"/>
      <c r="E21" s="160" t="n"/>
      <c r="F21" s="161" t="n"/>
      <c r="G21" s="162" t="n"/>
      <c r="H21" s="162" t="n"/>
      <c r="I21" s="163" t="n"/>
      <c r="J21" s="164" t="n"/>
      <c r="K21" s="165" t="n"/>
      <c r="L21" s="164" t="n"/>
      <c r="M21" s="164" t="n"/>
      <c r="N21" s="164" t="n"/>
      <c r="O21" s="164" t="n"/>
      <c r="P21" s="164" t="n"/>
      <c r="Q21" s="164" t="n"/>
      <c r="R21" s="165" t="n"/>
      <c r="S21" s="164" t="n"/>
      <c r="T21" s="164" t="n"/>
      <c r="U21" s="164" t="n"/>
      <c r="V21" s="164" t="n"/>
      <c r="W21" s="164" t="n"/>
      <c r="X21" s="164" t="n"/>
      <c r="Y21" s="165" t="n"/>
      <c r="Z21" s="164" t="n"/>
      <c r="AA21" s="164" t="n"/>
      <c r="AB21" s="164" t="n"/>
      <c r="AC21" s="164" t="n"/>
      <c r="AD21" s="164" t="n"/>
      <c r="AE21" s="165" t="n"/>
      <c r="AF21" s="165" t="n"/>
      <c r="AG21" s="164" t="n"/>
      <c r="AH21" s="164" t="n"/>
      <c r="AI21" s="164" t="n"/>
      <c r="AJ21" s="165" t="n"/>
      <c r="AK21" s="165" t="n"/>
      <c r="AL21" s="166">
        <f>SUM(G21:AK21)</f>
        <v/>
      </c>
      <c r="AM21" s="6" t="inlineStr">
        <is>
          <t>(C)</t>
        </is>
      </c>
      <c r="AN21" s="24" t="inlineStr">
        <is>
          <t>Số lượng còn lại chưa khai 残りの数量はまだ税関に申告されていません</t>
        </is>
      </c>
      <c r="AO21" s="148">
        <f>AO19+AO18-AO20</f>
        <v/>
      </c>
    </row>
    <row r="23" ht="21" customHeight="1" s="127" thickBot="1">
      <c r="B23" s="85" t="n">
        <v>2026</v>
      </c>
      <c r="D23" s="85" t="inlineStr">
        <is>
          <t>年</t>
        </is>
      </c>
      <c r="E23" s="85" t="n">
        <v>5</v>
      </c>
      <c r="F23" s="29" t="inlineStr">
        <is>
          <t>月</t>
        </is>
      </c>
      <c r="G23" s="8" t="n"/>
      <c r="H23" s="3" t="n"/>
      <c r="I23" s="3" t="n"/>
      <c r="J23" s="5" t="n"/>
      <c r="K23" s="5" t="n"/>
      <c r="L23" s="5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7" t="n"/>
    </row>
    <row r="24" ht="20.25" customFormat="1" customHeight="1" s="11">
      <c r="A24" s="173" t="inlineStr">
        <is>
          <t>mta0002 khớp nối New Jointer PA006</t>
        </is>
      </c>
      <c r="B24" s="106" t="inlineStr">
        <is>
          <t>輸送</t>
        </is>
      </c>
      <c r="C24" s="129" t="n"/>
      <c r="D24" s="107" t="inlineStr">
        <is>
          <t>日</t>
        </is>
      </c>
      <c r="E24" s="130" t="n"/>
      <c r="F24" s="131" t="n"/>
      <c r="G24" s="132">
        <f>DATE(B23,E23,1)</f>
        <v/>
      </c>
      <c r="H24" s="132">
        <f>IF(G24="","",IF(DAY(G24+1)=1,"",G24+1))</f>
        <v/>
      </c>
      <c r="I24" s="132">
        <f>IF(H24="","",IF(DAY(H24+1)=1,"",H24+1))</f>
        <v/>
      </c>
      <c r="J24" s="132">
        <f>IF(I24="","",IF(DAY(I24+1)=1,"",I24+1))</f>
        <v/>
      </c>
      <c r="K24" s="132">
        <f>IF(J24="","",IF(DAY(J24+1)=1,"",J24+1))</f>
        <v/>
      </c>
      <c r="L24" s="132">
        <f>IF(K24="","",IF(DAY(K24+1)=1,"",K24+1))</f>
        <v/>
      </c>
      <c r="M24" s="132">
        <f>IF(L24="","",IF(DAY(L24+1)=1,"",L24+1))</f>
        <v/>
      </c>
      <c r="N24" s="132">
        <f>IF(M24="","",IF(DAY(M24+1)=1,"",M24+1))</f>
        <v/>
      </c>
      <c r="O24" s="132">
        <f>IF(N24="","",IF(DAY(N24+1)=1,"",N24+1))</f>
        <v/>
      </c>
      <c r="P24" s="132">
        <f>IF(O24="","",IF(DAY(O24+1)=1,"",O24+1))</f>
        <v/>
      </c>
      <c r="Q24" s="132">
        <f>IF(P24="","",IF(DAY(P24+1)=1,"",P24+1))</f>
        <v/>
      </c>
      <c r="R24" s="132">
        <f>IF(Q24="","",IF(DAY(Q24+1)=1,"",Q24+1))</f>
        <v/>
      </c>
      <c r="S24" s="132">
        <f>IF(R24="","",IF(DAY(R24+1)=1,"",R24+1))</f>
        <v/>
      </c>
      <c r="T24" s="132">
        <f>IF(S24="","",IF(DAY(S24+1)=1,"",S24+1))</f>
        <v/>
      </c>
      <c r="U24" s="132">
        <f>IF(T24="","",IF(DAY(T24+1)=1,"",T24+1))</f>
        <v/>
      </c>
      <c r="V24" s="132">
        <f>IF(U24="","",IF(DAY(U24+1)=1,"",U24+1))</f>
        <v/>
      </c>
      <c r="W24" s="132">
        <f>IF(V24="","",IF(DAY(V24+1)=1,"",V24+1))</f>
        <v/>
      </c>
      <c r="X24" s="132">
        <f>IF(W24="","",IF(DAY(W24+1)=1,"",W24+1))</f>
        <v/>
      </c>
      <c r="Y24" s="132">
        <f>IF(X24="","",IF(DAY(X24+1)=1,"",X24+1))</f>
        <v/>
      </c>
      <c r="Z24" s="132">
        <f>IF(Y24="","",IF(DAY(Y24+1)=1,"",Y24+1))</f>
        <v/>
      </c>
      <c r="AA24" s="132">
        <f>IF(Z24="","",IF(DAY(Z24+1)=1,"",Z24+1))</f>
        <v/>
      </c>
      <c r="AB24" s="132">
        <f>IF(AA24="","",IF(DAY(AA24+1)=1,"",AA24+1))</f>
        <v/>
      </c>
      <c r="AC24" s="132">
        <f>IF(AB24="","",IF(DAY(AB24+1)=1,"",AB24+1))</f>
        <v/>
      </c>
      <c r="AD24" s="132">
        <f>IF(AC24="","",IF(DAY(AC24+1)=1,"",AC24+1))</f>
        <v/>
      </c>
      <c r="AE24" s="132">
        <f>IF(AD24="","",IF(DAY(AD24+1)=1,"",AD24+1))</f>
        <v/>
      </c>
      <c r="AF24" s="132">
        <f>IF(AE24="","",IF(DAY(AE24+1)=1,"",AE24+1))</f>
        <v/>
      </c>
      <c r="AG24" s="132">
        <f>IF(AF24="","",IF(DAY(AF24+1)=1,"",AF24+1))</f>
        <v/>
      </c>
      <c r="AH24" s="132">
        <f>IF(AG24="","",IF(DAY(AG24+1)=1,"",AG24+1))</f>
        <v/>
      </c>
      <c r="AI24" s="132">
        <f>IF(AH24="","",IF(DAY(AH24+1)=1,"",AH24+1))</f>
        <v/>
      </c>
      <c r="AJ24" s="132">
        <f>IF(AI24="","",IF(DAY(AI24+1)=1,"",AI24+1))</f>
        <v/>
      </c>
      <c r="AK24" s="132">
        <f>IF(AJ24="","",IF(DAY(AJ24+1)=1,"",AJ24+1))</f>
        <v/>
      </c>
      <c r="AL24" s="133" t="inlineStr">
        <is>
          <t>Total</t>
        </is>
      </c>
      <c r="AM24" s="7" t="n"/>
      <c r="AN24" s="21" t="n"/>
      <c r="AO24" s="20" t="n"/>
    </row>
    <row r="25" ht="20.25" customFormat="1" customHeight="1" s="11">
      <c r="A25" s="134" t="n"/>
      <c r="B25" s="135" t="n"/>
      <c r="C25" s="136" t="n"/>
      <c r="D25" s="102" t="inlineStr">
        <is>
          <t>時間</t>
        </is>
      </c>
      <c r="E25" s="137" t="n"/>
      <c r="F25" s="138" t="n"/>
      <c r="G25" s="139">
        <f>+G24</f>
        <v/>
      </c>
      <c r="H25" s="139">
        <f>+H24</f>
        <v/>
      </c>
      <c r="I25" s="139">
        <f>+I24</f>
        <v/>
      </c>
      <c r="J25" s="139">
        <f>+J24</f>
        <v/>
      </c>
      <c r="K25" s="139">
        <f>+K24</f>
        <v/>
      </c>
      <c r="L25" s="139">
        <f>+L24</f>
        <v/>
      </c>
      <c r="M25" s="139">
        <f>+M24</f>
        <v/>
      </c>
      <c r="N25" s="139">
        <f>+N24</f>
        <v/>
      </c>
      <c r="O25" s="139">
        <f>+O24</f>
        <v/>
      </c>
      <c r="P25" s="139">
        <f>+P24</f>
        <v/>
      </c>
      <c r="Q25" s="139">
        <f>+Q24</f>
        <v/>
      </c>
      <c r="R25" s="139">
        <f>+R24</f>
        <v/>
      </c>
      <c r="S25" s="139">
        <f>+S24</f>
        <v/>
      </c>
      <c r="T25" s="139">
        <f>+T24</f>
        <v/>
      </c>
      <c r="U25" s="139">
        <f>+U24</f>
        <v/>
      </c>
      <c r="V25" s="139">
        <f>+V24</f>
        <v/>
      </c>
      <c r="W25" s="139">
        <f>+W24</f>
        <v/>
      </c>
      <c r="X25" s="139">
        <f>+X24</f>
        <v/>
      </c>
      <c r="Y25" s="139">
        <f>+Y24</f>
        <v/>
      </c>
      <c r="Z25" s="139">
        <f>+Z24</f>
        <v/>
      </c>
      <c r="AA25" s="139">
        <f>+AA24</f>
        <v/>
      </c>
      <c r="AB25" s="139">
        <f>+AB24</f>
        <v/>
      </c>
      <c r="AC25" s="139">
        <f>+AC24</f>
        <v/>
      </c>
      <c r="AD25" s="139">
        <f>+AD24</f>
        <v/>
      </c>
      <c r="AE25" s="139">
        <f>+AE24</f>
        <v/>
      </c>
      <c r="AF25" s="139">
        <f>+AF24</f>
        <v/>
      </c>
      <c r="AG25" s="139">
        <f>+AG24</f>
        <v/>
      </c>
      <c r="AH25" s="139">
        <f>+AH24</f>
        <v/>
      </c>
      <c r="AI25" s="139">
        <f>+AI24</f>
        <v/>
      </c>
      <c r="AJ25" s="139">
        <f>+AJ24</f>
        <v/>
      </c>
      <c r="AK25" s="139">
        <f>+AK24</f>
        <v/>
      </c>
      <c r="AL25" s="140" t="n"/>
      <c r="AN25" s="21" t="n"/>
      <c r="AO25" s="20" t="n"/>
    </row>
    <row r="26" ht="56.25" customFormat="1" customHeight="1" s="11">
      <c r="A26" s="134" t="n"/>
      <c r="B26" s="174" t="inlineStr">
        <is>
          <t>PO 注文書</t>
        </is>
      </c>
      <c r="C26" s="142" t="n"/>
      <c r="D26" s="142" t="n"/>
      <c r="E26" s="142" t="n"/>
      <c r="F26" s="143" t="n"/>
      <c r="G26" s="144" t="n"/>
      <c r="H26" s="145" t="n"/>
      <c r="I26" s="144" t="n"/>
      <c r="J26" s="145" t="n"/>
      <c r="K26" s="145" t="n"/>
      <c r="L26" s="145" t="n"/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  <c r="AA26" s="145" t="n"/>
      <c r="AB26" s="145" t="n"/>
      <c r="AC26" s="145" t="n"/>
      <c r="AD26" s="145" t="n"/>
      <c r="AE26" s="145" t="n"/>
      <c r="AF26" s="145" t="n"/>
      <c r="AG26" s="145" t="n"/>
      <c r="AH26" s="145" t="n"/>
      <c r="AI26" s="145" t="n"/>
      <c r="AJ26" s="145" t="n"/>
      <c r="AK26" s="145" t="n"/>
      <c r="AL26" s="146">
        <f>SUM(G26:AK26)</f>
        <v/>
      </c>
      <c r="AN26" s="147" t="inlineStr">
        <is>
          <t>Tồn PO
注文の 残量</t>
        </is>
      </c>
      <c r="AO26" s="148">
        <f>AO17+AL26-AO27</f>
        <v/>
      </c>
    </row>
    <row r="27" ht="56.25" customHeight="1" s="127">
      <c r="A27" s="134" t="n"/>
      <c r="B27" s="111" t="inlineStr">
        <is>
          <t xml:space="preserve">計画数量
kế hoạch </t>
        </is>
      </c>
      <c r="C27" s="149" t="n"/>
      <c r="D27" s="149" t="n"/>
      <c r="E27" s="149" t="n"/>
      <c r="F27" s="150" t="n"/>
      <c r="G27" s="144" t="n"/>
      <c r="H27" s="144" t="n"/>
      <c r="I27" s="144" t="n"/>
      <c r="J27" s="145" t="n"/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  <c r="AA27" s="145" t="n"/>
      <c r="AB27" s="145" t="n"/>
      <c r="AC27" s="145" t="n"/>
      <c r="AD27" s="145" t="n"/>
      <c r="AE27" s="145" t="n"/>
      <c r="AF27" s="145" t="n"/>
      <c r="AG27" s="145" t="n"/>
      <c r="AH27" s="145" t="n"/>
      <c r="AI27" s="145" t="n"/>
      <c r="AJ27" s="145" t="n"/>
      <c r="AK27" s="145" t="n"/>
      <c r="AL27" s="151">
        <f>SUM(G27:AK27)</f>
        <v/>
      </c>
      <c r="AM27" s="0" t="n"/>
      <c r="AN27" s="24" t="inlineStr">
        <is>
          <t>Tổng nhập 総入荷数量
（A)-(B)+(C)</t>
        </is>
      </c>
      <c r="AO27" s="152">
        <f>AL28-AL29+AL30</f>
        <v/>
      </c>
    </row>
    <row r="28" ht="56.25" customHeight="1" s="127">
      <c r="A28" s="134" t="n"/>
      <c r="B28" s="111" t="inlineStr">
        <is>
          <t>実際の納品数量
số lượng thực nhập</t>
        </is>
      </c>
      <c r="C28" s="149" t="n"/>
      <c r="D28" s="149" t="n"/>
      <c r="E28" s="149" t="n"/>
      <c r="F28" s="150" t="n"/>
      <c r="G28" s="153" t="n"/>
      <c r="H28" s="153" t="n"/>
      <c r="I28" s="154" t="n"/>
      <c r="J28" s="145" t="n"/>
      <c r="K28" s="156" t="n"/>
      <c r="L28" s="156" t="n">
        <v>103</v>
      </c>
      <c r="M28" s="155" t="n"/>
      <c r="N28" s="155" t="n"/>
      <c r="O28" s="155" t="n"/>
      <c r="P28" s="155" t="n"/>
      <c r="Q28" s="156" t="n"/>
      <c r="R28" s="156" t="n"/>
      <c r="S28" s="156" t="n"/>
      <c r="T28" s="156" t="n"/>
      <c r="U28" s="156" t="n"/>
      <c r="V28" s="156" t="n"/>
      <c r="W28" s="156" t="n"/>
      <c r="X28" s="156" t="n"/>
      <c r="Y28" s="156" t="n"/>
      <c r="Z28" s="156" t="n"/>
      <c r="AA28" s="156" t="n"/>
      <c r="AB28" s="156" t="n"/>
      <c r="AC28" s="155" t="n"/>
      <c r="AD28" s="155" t="n"/>
      <c r="AE28" s="156" t="n"/>
      <c r="AF28" s="156" t="n"/>
      <c r="AG28" s="155" t="n"/>
      <c r="AH28" s="155" t="n"/>
      <c r="AI28" s="156" t="n"/>
      <c r="AJ28" s="156" t="n"/>
      <c r="AK28" s="156" t="n"/>
      <c r="AL28" s="157">
        <f>SUM(G28:AK28)</f>
        <v/>
      </c>
      <c r="AM28" s="6" t="inlineStr">
        <is>
          <t>(A)</t>
        </is>
      </c>
      <c r="AN28" s="24" t="inlineStr">
        <is>
          <t>Số lượng chưa khai tháng trước 先月まだ税関に申告されていない数量</t>
        </is>
      </c>
      <c r="AO28" s="148">
        <f>AO21</f>
        <v/>
      </c>
    </row>
    <row r="29" ht="56.25" customHeight="1" s="127">
      <c r="A29" s="134" t="n"/>
      <c r="B29" s="111" t="inlineStr">
        <is>
          <t>NG数量（DO SUNG 社変更済）
số lượng NG (Trả hàng DO SUNG)</t>
        </is>
      </c>
      <c r="C29" s="149" t="n"/>
      <c r="D29" s="149" t="n"/>
      <c r="E29" s="149" t="n"/>
      <c r="F29" s="150" t="n"/>
      <c r="G29" s="144" t="n"/>
      <c r="H29" s="144" t="n"/>
      <c r="I29" s="144" t="n"/>
      <c r="J29" s="145" t="n"/>
      <c r="K29" s="145" t="n"/>
      <c r="L29" s="145" t="n">
        <v>132</v>
      </c>
      <c r="M29" s="145" t="n"/>
      <c r="N29" s="145" t="n"/>
      <c r="O29" s="145" t="n"/>
      <c r="P29" s="145" t="n"/>
      <c r="Q29" s="145" t="n"/>
      <c r="R29" s="145" t="n"/>
      <c r="S29" s="145" t="n"/>
      <c r="T29" s="145" t="n"/>
      <c r="U29" s="145" t="n"/>
      <c r="V29" s="145" t="n"/>
      <c r="W29" s="145" t="n"/>
      <c r="X29" s="145" t="n"/>
      <c r="Y29" s="145" t="n"/>
      <c r="Z29" s="145" t="n"/>
      <c r="AA29" s="145" t="n"/>
      <c r="AB29" s="145" t="n"/>
      <c r="AC29" s="145" t="n"/>
      <c r="AD29" s="145" t="n"/>
      <c r="AE29" s="145" t="n"/>
      <c r="AF29" s="145" t="n"/>
      <c r="AG29" s="145" t="n"/>
      <c r="AH29" s="145" t="n"/>
      <c r="AI29" s="145" t="n"/>
      <c r="AJ29" s="145" t="n"/>
      <c r="AK29" s="145" t="n"/>
      <c r="AL29" s="158">
        <f>SUM(G29:AK29)</f>
        <v/>
      </c>
      <c r="AM29" s="6" t="inlineStr">
        <is>
          <t>(B)</t>
        </is>
      </c>
      <c r="AN29" s="24" t="inlineStr">
        <is>
          <t>Số lượng đã khai tháng này 今月税関に申告された数量</t>
        </is>
      </c>
      <c r="AO29" s="26" t="n"/>
    </row>
    <row r="30" ht="56.25" customHeight="1" s="127" thickBot="1">
      <c r="A30" s="159" t="n"/>
      <c r="B30" s="109" t="inlineStr">
        <is>
          <t>NG数量（ドンスン　社しゅり済）
số lượng NG (DO SUNG đã sửa )</t>
        </is>
      </c>
      <c r="C30" s="160" t="n"/>
      <c r="D30" s="160" t="n"/>
      <c r="E30" s="160" t="n"/>
      <c r="F30" s="161" t="n"/>
      <c r="G30" s="162" t="n"/>
      <c r="H30" s="162" t="n"/>
      <c r="I30" s="163" t="n"/>
      <c r="J30" s="164" t="n"/>
      <c r="K30" s="165" t="n"/>
      <c r="L30" s="164" t="n"/>
      <c r="M30" s="164" t="n"/>
      <c r="N30" s="164" t="n"/>
      <c r="O30" s="164" t="n"/>
      <c r="P30" s="164" t="n"/>
      <c r="Q30" s="164" t="n"/>
      <c r="R30" s="165" t="n"/>
      <c r="S30" s="164" t="n"/>
      <c r="T30" s="164" t="n"/>
      <c r="U30" s="164" t="n"/>
      <c r="V30" s="164" t="n"/>
      <c r="W30" s="164" t="n"/>
      <c r="X30" s="164" t="n">
        <v>131</v>
      </c>
      <c r="Y30" s="165" t="n"/>
      <c r="Z30" s="164" t="n"/>
      <c r="AA30" s="164" t="n"/>
      <c r="AB30" s="164" t="n"/>
      <c r="AC30" s="164" t="n"/>
      <c r="AD30" s="164" t="n"/>
      <c r="AE30" s="165" t="n"/>
      <c r="AF30" s="165" t="n"/>
      <c r="AG30" s="164" t="n"/>
      <c r="AH30" s="164" t="n"/>
      <c r="AI30" s="164" t="n"/>
      <c r="AJ30" s="165" t="n"/>
      <c r="AK30" s="165" t="n"/>
      <c r="AL30" s="166">
        <f>SUM(G30:AK30)</f>
        <v/>
      </c>
      <c r="AM30" s="6" t="inlineStr">
        <is>
          <t>(C)</t>
        </is>
      </c>
      <c r="AN30" s="24" t="inlineStr">
        <is>
          <t>Số lượng còn lại chưa khai 残りの数量はまだ税関に申告されていません</t>
        </is>
      </c>
      <c r="AO30" s="148">
        <f>AO28+AO27-AO29</f>
        <v/>
      </c>
    </row>
    <row r="32" ht="21" customHeight="1" s="127" thickBot="1">
      <c r="B32" s="85" t="n">
        <v>2026</v>
      </c>
      <c r="D32" s="85" t="inlineStr">
        <is>
          <t>年</t>
        </is>
      </c>
      <c r="E32" s="85" t="n">
        <v>6</v>
      </c>
      <c r="F32" s="29" t="inlineStr">
        <is>
          <t>月</t>
        </is>
      </c>
      <c r="G32" s="8" t="n"/>
      <c r="H32" s="3" t="n"/>
      <c r="I32" s="3" t="n"/>
      <c r="J32" s="5" t="n"/>
      <c r="K32" s="5" t="n"/>
      <c r="L32" s="5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7" t="n"/>
    </row>
    <row r="33" ht="20.25" customFormat="1" customHeight="1" s="11">
      <c r="A33" s="173" t="inlineStr">
        <is>
          <t>mta0002 khớp nối New Jointer PA006</t>
        </is>
      </c>
      <c r="B33" s="106" t="inlineStr">
        <is>
          <t>輸送</t>
        </is>
      </c>
      <c r="C33" s="129" t="n"/>
      <c r="D33" s="107" t="inlineStr">
        <is>
          <t>日</t>
        </is>
      </c>
      <c r="E33" s="130" t="n"/>
      <c r="F33" s="131" t="n"/>
      <c r="G33" s="132">
        <f>DATE(B32,E32,1)</f>
        <v/>
      </c>
      <c r="H33" s="132">
        <f>IF(G33="","",IF(DAY(G33+1)=1,"",G33+1))</f>
        <v/>
      </c>
      <c r="I33" s="132">
        <f>IF(H33="","",IF(DAY(H33+1)=1,"",H33+1))</f>
        <v/>
      </c>
      <c r="J33" s="132">
        <f>IF(I33="","",IF(DAY(I33+1)=1,"",I33+1))</f>
        <v/>
      </c>
      <c r="K33" s="132">
        <f>IF(J33="","",IF(DAY(J33+1)=1,"",J33+1))</f>
        <v/>
      </c>
      <c r="L33" s="132">
        <f>IF(K33="","",IF(DAY(K33+1)=1,"",K33+1))</f>
        <v/>
      </c>
      <c r="M33" s="132">
        <f>IF(L33="","",IF(DAY(L33+1)=1,"",L33+1))</f>
        <v/>
      </c>
      <c r="N33" s="132">
        <f>IF(M33="","",IF(DAY(M33+1)=1,"",M33+1))</f>
        <v/>
      </c>
      <c r="O33" s="132">
        <f>IF(N33="","",IF(DAY(N33+1)=1,"",N33+1))</f>
        <v/>
      </c>
      <c r="P33" s="132">
        <f>IF(O33="","",IF(DAY(O33+1)=1,"",O33+1))</f>
        <v/>
      </c>
      <c r="Q33" s="132">
        <f>IF(P33="","",IF(DAY(P33+1)=1,"",P33+1))</f>
        <v/>
      </c>
      <c r="R33" s="132">
        <f>IF(Q33="","",IF(DAY(Q33+1)=1,"",Q33+1))</f>
        <v/>
      </c>
      <c r="S33" s="132">
        <f>IF(R33="","",IF(DAY(R33+1)=1,"",R33+1))</f>
        <v/>
      </c>
      <c r="T33" s="132">
        <f>IF(S33="","",IF(DAY(S33+1)=1,"",S33+1))</f>
        <v/>
      </c>
      <c r="U33" s="132">
        <f>IF(T33="","",IF(DAY(T33+1)=1,"",T33+1))</f>
        <v/>
      </c>
      <c r="V33" s="132">
        <f>IF(U33="","",IF(DAY(U33+1)=1,"",U33+1))</f>
        <v/>
      </c>
      <c r="W33" s="132">
        <f>IF(V33="","",IF(DAY(V33+1)=1,"",V33+1))</f>
        <v/>
      </c>
      <c r="X33" s="132">
        <f>IF(W33="","",IF(DAY(W33+1)=1,"",W33+1))</f>
        <v/>
      </c>
      <c r="Y33" s="132">
        <f>IF(X33="","",IF(DAY(X33+1)=1,"",X33+1))</f>
        <v/>
      </c>
      <c r="Z33" s="132">
        <f>IF(Y33="","",IF(DAY(Y33+1)=1,"",Y33+1))</f>
        <v/>
      </c>
      <c r="AA33" s="132">
        <f>IF(Z33="","",IF(DAY(Z33+1)=1,"",Z33+1))</f>
        <v/>
      </c>
      <c r="AB33" s="132">
        <f>IF(AA33="","",IF(DAY(AA33+1)=1,"",AA33+1))</f>
        <v/>
      </c>
      <c r="AC33" s="132">
        <f>IF(AB33="","",IF(DAY(AB33+1)=1,"",AB33+1))</f>
        <v/>
      </c>
      <c r="AD33" s="132">
        <f>IF(AC33="","",IF(DAY(AC33+1)=1,"",AC33+1))</f>
        <v/>
      </c>
      <c r="AE33" s="132">
        <f>IF(AD33="","",IF(DAY(AD33+1)=1,"",AD33+1))</f>
        <v/>
      </c>
      <c r="AF33" s="132">
        <f>IF(AE33="","",IF(DAY(AE33+1)=1,"",AE33+1))</f>
        <v/>
      </c>
      <c r="AG33" s="132">
        <f>IF(AF33="","",IF(DAY(AF33+1)=1,"",AF33+1))</f>
        <v/>
      </c>
      <c r="AH33" s="132">
        <f>IF(AG33="","",IF(DAY(AG33+1)=1,"",AG33+1))</f>
        <v/>
      </c>
      <c r="AI33" s="132">
        <f>IF(AH33="","",IF(DAY(AH33+1)=1,"",AH33+1))</f>
        <v/>
      </c>
      <c r="AJ33" s="132">
        <f>IF(AI33="","",IF(DAY(AI33+1)=1,"",AI33+1))</f>
        <v/>
      </c>
      <c r="AK33" s="132">
        <f>IF(AJ33="","",IF(DAY(AJ33+1)=1,"",AJ33+1))</f>
        <v/>
      </c>
      <c r="AL33" s="133" t="inlineStr">
        <is>
          <t>Total</t>
        </is>
      </c>
      <c r="AM33" s="7" t="n"/>
      <c r="AN33" s="21" t="n"/>
      <c r="AO33" s="20" t="n"/>
    </row>
    <row r="34" ht="20.25" customFormat="1" customHeight="1" s="11">
      <c r="A34" s="134" t="n"/>
      <c r="B34" s="135" t="n"/>
      <c r="C34" s="136" t="n"/>
      <c r="D34" s="102" t="inlineStr">
        <is>
          <t>時間</t>
        </is>
      </c>
      <c r="E34" s="137" t="n"/>
      <c r="F34" s="138" t="n"/>
      <c r="G34" s="139">
        <f>+G33</f>
        <v/>
      </c>
      <c r="H34" s="139">
        <f>+H33</f>
        <v/>
      </c>
      <c r="I34" s="139">
        <f>+I33</f>
        <v/>
      </c>
      <c r="J34" s="139">
        <f>+J33</f>
        <v/>
      </c>
      <c r="K34" s="139">
        <f>+K33</f>
        <v/>
      </c>
      <c r="L34" s="139">
        <f>+L33</f>
        <v/>
      </c>
      <c r="M34" s="139">
        <f>+M33</f>
        <v/>
      </c>
      <c r="N34" s="139">
        <f>+N33</f>
        <v/>
      </c>
      <c r="O34" s="139">
        <f>+O33</f>
        <v/>
      </c>
      <c r="P34" s="139">
        <f>+P33</f>
        <v/>
      </c>
      <c r="Q34" s="139">
        <f>+Q33</f>
        <v/>
      </c>
      <c r="R34" s="139">
        <f>+R33</f>
        <v/>
      </c>
      <c r="S34" s="139">
        <f>+S33</f>
        <v/>
      </c>
      <c r="T34" s="139">
        <f>+T33</f>
        <v/>
      </c>
      <c r="U34" s="139">
        <f>+U33</f>
        <v/>
      </c>
      <c r="V34" s="139">
        <f>+V33</f>
        <v/>
      </c>
      <c r="W34" s="139">
        <f>+W33</f>
        <v/>
      </c>
      <c r="X34" s="139">
        <f>+X33</f>
        <v/>
      </c>
      <c r="Y34" s="139">
        <f>+Y33</f>
        <v/>
      </c>
      <c r="Z34" s="139">
        <f>+Z33</f>
        <v/>
      </c>
      <c r="AA34" s="139">
        <f>+AA33</f>
        <v/>
      </c>
      <c r="AB34" s="139">
        <f>+AB33</f>
        <v/>
      </c>
      <c r="AC34" s="139">
        <f>+AC33</f>
        <v/>
      </c>
      <c r="AD34" s="139">
        <f>+AD33</f>
        <v/>
      </c>
      <c r="AE34" s="139">
        <f>+AE33</f>
        <v/>
      </c>
      <c r="AF34" s="139">
        <f>+AF33</f>
        <v/>
      </c>
      <c r="AG34" s="139">
        <f>+AG33</f>
        <v/>
      </c>
      <c r="AH34" s="139">
        <f>+AH33</f>
        <v/>
      </c>
      <c r="AI34" s="139">
        <f>+AI33</f>
        <v/>
      </c>
      <c r="AJ34" s="139">
        <f>+AJ33</f>
        <v/>
      </c>
      <c r="AK34" s="139">
        <f>+AK33</f>
        <v/>
      </c>
      <c r="AL34" s="140" t="n"/>
      <c r="AN34" s="21" t="n"/>
      <c r="AO34" s="20" t="n"/>
    </row>
    <row r="35" ht="56.25" customFormat="1" customHeight="1" s="11">
      <c r="A35" s="134" t="n"/>
      <c r="B35" s="174" t="inlineStr">
        <is>
          <t>PO 注文書</t>
        </is>
      </c>
      <c r="C35" s="142" t="n"/>
      <c r="D35" s="142" t="n"/>
      <c r="E35" s="142" t="n"/>
      <c r="F35" s="143" t="n"/>
      <c r="G35" s="144" t="n"/>
      <c r="H35" s="145" t="n"/>
      <c r="I35" s="144" t="n"/>
      <c r="J35" s="145" t="n"/>
      <c r="K35" s="145" t="n"/>
      <c r="L35" s="145" t="n"/>
      <c r="M35" s="145" t="n"/>
      <c r="N35" s="145" t="n"/>
      <c r="O35" s="145" t="n"/>
      <c r="P35" s="145" t="n"/>
      <c r="Q35" s="145" t="n"/>
      <c r="R35" s="145" t="n"/>
      <c r="S35" s="145" t="n"/>
      <c r="T35" s="145" t="n"/>
      <c r="U35" s="145" t="n">
        <v>2000</v>
      </c>
      <c r="V35" s="145" t="n"/>
      <c r="W35" s="145" t="n"/>
      <c r="X35" s="145" t="n"/>
      <c r="Y35" s="145" t="n"/>
      <c r="Z35" s="145" t="n"/>
      <c r="AA35" s="145" t="n"/>
      <c r="AB35" s="145" t="n"/>
      <c r="AC35" s="145" t="n"/>
      <c r="AD35" s="145" t="n"/>
      <c r="AE35" s="145" t="n"/>
      <c r="AF35" s="145" t="n"/>
      <c r="AG35" s="145" t="n"/>
      <c r="AH35" s="145" t="n"/>
      <c r="AI35" s="145" t="n"/>
      <c r="AJ35" s="145" t="n"/>
      <c r="AK35" s="145" t="n"/>
      <c r="AL35" s="146">
        <f>SUM(G35:AK35)</f>
        <v/>
      </c>
      <c r="AN35" s="147" t="inlineStr">
        <is>
          <t>Tồn PO
注文の 残量</t>
        </is>
      </c>
      <c r="AO35" s="148">
        <f>AO26+AL35-AO36</f>
        <v/>
      </c>
    </row>
    <row r="36" ht="56.25" customHeight="1" s="127">
      <c r="A36" s="134" t="n"/>
      <c r="B36" s="111" t="inlineStr">
        <is>
          <t xml:space="preserve">計画数量
kế hoạch </t>
        </is>
      </c>
      <c r="C36" s="149" t="n"/>
      <c r="D36" s="149" t="n"/>
      <c r="E36" s="149" t="n"/>
      <c r="F36" s="150" t="n"/>
      <c r="G36" s="144" t="n"/>
      <c r="H36" s="144" t="n"/>
      <c r="I36" s="144" t="n"/>
      <c r="J36" s="145" t="n"/>
      <c r="K36" s="145" t="n"/>
      <c r="L36" s="145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  <c r="AA36" s="145" t="n"/>
      <c r="AB36" s="145" t="n"/>
      <c r="AC36" s="145" t="n"/>
      <c r="AD36" s="145" t="n"/>
      <c r="AE36" s="145" t="n"/>
      <c r="AF36" s="145" t="n"/>
      <c r="AG36" s="145" t="n"/>
      <c r="AH36" s="145" t="n"/>
      <c r="AI36" s="145" t="n"/>
      <c r="AJ36" s="145" t="n"/>
      <c r="AK36" s="145" t="n"/>
      <c r="AL36" s="151">
        <f>SUM(G36:AK36)</f>
        <v/>
      </c>
      <c r="AM36" s="0" t="n"/>
      <c r="AN36" s="24" t="inlineStr">
        <is>
          <t>Tổng nhập 総入荷数量
（A)-(B)+(C)</t>
        </is>
      </c>
      <c r="AO36" s="152">
        <f>AL37-AL38+AL39</f>
        <v/>
      </c>
    </row>
    <row r="37" ht="56.25" customHeight="1" s="127">
      <c r="A37" s="134" t="n"/>
      <c r="B37" s="111" t="inlineStr">
        <is>
          <t>実際の納品数量
số lượng thực nhập</t>
        </is>
      </c>
      <c r="C37" s="149" t="n"/>
      <c r="D37" s="149" t="n"/>
      <c r="E37" s="149" t="n"/>
      <c r="F37" s="150" t="n"/>
      <c r="G37" s="153" t="n"/>
      <c r="H37" s="153" t="n"/>
      <c r="I37" s="154" t="n"/>
      <c r="J37" s="145" t="n"/>
      <c r="K37" s="156" t="n"/>
      <c r="L37" s="156" t="n"/>
      <c r="M37" s="155" t="n"/>
      <c r="N37" s="155" t="n"/>
      <c r="O37" s="155" t="n"/>
      <c r="P37" s="155" t="n"/>
      <c r="Q37" s="156" t="n"/>
      <c r="R37" s="156" t="n"/>
      <c r="S37" s="156" t="n"/>
      <c r="T37" s="156" t="n"/>
      <c r="U37" s="156" t="n"/>
      <c r="V37" s="156" t="n"/>
      <c r="W37" s="156" t="n">
        <v>400</v>
      </c>
      <c r="X37" s="156" t="n"/>
      <c r="Y37" s="156" t="n"/>
      <c r="Z37" s="156" t="n">
        <v>1599</v>
      </c>
      <c r="AA37" s="156" t="n"/>
      <c r="AB37" s="156" t="n"/>
      <c r="AC37" s="155" t="n"/>
      <c r="AD37" s="155" t="n"/>
      <c r="AE37" s="156" t="n"/>
      <c r="AF37" s="156" t="n"/>
      <c r="AG37" s="155" t="n"/>
      <c r="AH37" s="155" t="n"/>
      <c r="AI37" s="156" t="n"/>
      <c r="AJ37" s="156" t="n">
        <v>1</v>
      </c>
      <c r="AK37" s="156" t="n"/>
      <c r="AL37" s="157">
        <f>SUM(G37:AK37)</f>
        <v/>
      </c>
      <c r="AM37" s="6" t="inlineStr">
        <is>
          <t>(A)</t>
        </is>
      </c>
      <c r="AN37" s="24" t="inlineStr">
        <is>
          <t>Số lượng chưa khai tháng trước 先月まだ税関に申告されていない数量</t>
        </is>
      </c>
      <c r="AO37" s="148">
        <f>AO30</f>
        <v/>
      </c>
    </row>
    <row r="38" ht="56.25" customHeight="1" s="127">
      <c r="A38" s="134" t="n"/>
      <c r="B38" s="111" t="inlineStr">
        <is>
          <t>NG数量（DO SUNG 社変更済）
số lượng NG (Trả hàng DO SUNG)</t>
        </is>
      </c>
      <c r="C38" s="149" t="n"/>
      <c r="D38" s="149" t="n"/>
      <c r="E38" s="149" t="n"/>
      <c r="F38" s="150" t="n"/>
      <c r="G38" s="144" t="n"/>
      <c r="H38" s="144" t="n"/>
      <c r="I38" s="144" t="n"/>
      <c r="J38" s="145" t="n"/>
      <c r="K38" s="145" t="n"/>
      <c r="L38" s="145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5" t="n"/>
      <c r="V38" s="145" t="n"/>
      <c r="W38" s="145" t="n"/>
      <c r="X38" s="145" t="n"/>
      <c r="Y38" s="145" t="n"/>
      <c r="Z38" s="145" t="n"/>
      <c r="AA38" s="145" t="n"/>
      <c r="AB38" s="145" t="n"/>
      <c r="AC38" s="145" t="n"/>
      <c r="AD38" s="145" t="n"/>
      <c r="AE38" s="145" t="n"/>
      <c r="AF38" s="145" t="n"/>
      <c r="AG38" s="145" t="n"/>
      <c r="AH38" s="145" t="n"/>
      <c r="AI38" s="145" t="n"/>
      <c r="AJ38" s="145" t="n"/>
      <c r="AK38" s="145" t="n"/>
      <c r="AL38" s="158">
        <f>SUM(G38:AK38)</f>
        <v/>
      </c>
      <c r="AM38" s="6" t="inlineStr">
        <is>
          <t>(B)</t>
        </is>
      </c>
      <c r="AN38" s="24" t="inlineStr">
        <is>
          <t>Số lượng đã khai tháng này 今月税関に申告された数量</t>
        </is>
      </c>
      <c r="AO38" s="26" t="n"/>
    </row>
    <row r="39" ht="56.25" customHeight="1" s="127" thickBot="1">
      <c r="A39" s="159" t="n"/>
      <c r="B39" s="109" t="inlineStr">
        <is>
          <t>NG数量（ドンスン　社しゅり済）
số lượng NG (DO SUNG đã sửa )</t>
        </is>
      </c>
      <c r="C39" s="160" t="n"/>
      <c r="D39" s="160" t="n"/>
      <c r="E39" s="160" t="n"/>
      <c r="F39" s="161" t="n"/>
      <c r="G39" s="162" t="n"/>
      <c r="H39" s="162" t="n"/>
      <c r="I39" s="163" t="n"/>
      <c r="J39" s="164" t="n"/>
      <c r="K39" s="165" t="n"/>
      <c r="L39" s="164" t="n"/>
      <c r="M39" s="164" t="n"/>
      <c r="N39" s="164" t="n"/>
      <c r="O39" s="164" t="n"/>
      <c r="P39" s="164" t="n"/>
      <c r="Q39" s="164" t="n"/>
      <c r="R39" s="165" t="n"/>
      <c r="S39" s="164" t="n"/>
      <c r="T39" s="164" t="n"/>
      <c r="U39" s="164" t="n"/>
      <c r="V39" s="164" t="n"/>
      <c r="W39" s="164" t="n"/>
      <c r="X39" s="164" t="n"/>
      <c r="Y39" s="165" t="n"/>
      <c r="Z39" s="164" t="n"/>
      <c r="AA39" s="164" t="n"/>
      <c r="AB39" s="164" t="n"/>
      <c r="AC39" s="164" t="n"/>
      <c r="AD39" s="164" t="n"/>
      <c r="AE39" s="165" t="n"/>
      <c r="AF39" s="165" t="n"/>
      <c r="AG39" s="164" t="n"/>
      <c r="AH39" s="164" t="n"/>
      <c r="AI39" s="164" t="n"/>
      <c r="AJ39" s="165" t="n"/>
      <c r="AK39" s="165" t="n"/>
      <c r="AL39" s="166">
        <f>SUM(G39:AK39)</f>
        <v/>
      </c>
      <c r="AM39" s="6" t="inlineStr">
        <is>
          <t>(C)</t>
        </is>
      </c>
      <c r="AN39" s="24" t="inlineStr">
        <is>
          <t>Số lượng còn lại chưa khai 残りの数量はまだ税関に申告されていません</t>
        </is>
      </c>
      <c r="AO39" s="148">
        <f>AO37+AO36-AO38</f>
        <v/>
      </c>
    </row>
    <row r="42" ht="29.25" customHeight="1" s="127" thickBot="1">
      <c r="B42" s="85" t="n">
        <v>2026</v>
      </c>
      <c r="D42" s="85" t="inlineStr">
        <is>
          <t>年</t>
        </is>
      </c>
      <c r="E42" s="85" t="n">
        <v>10</v>
      </c>
      <c r="F42" s="29" t="inlineStr">
        <is>
          <t>月</t>
        </is>
      </c>
      <c r="G42" s="8" t="n"/>
      <c r="H42" s="3" t="n"/>
      <c r="I42" s="3" t="n"/>
      <c r="J42" s="5" t="n"/>
      <c r="K42" s="5" t="n"/>
      <c r="L42" s="5" t="n"/>
      <c r="M42" s="4" t="n"/>
      <c r="N42" s="4" t="n"/>
      <c r="O42" s="4" t="n"/>
      <c r="P42" s="4" t="n"/>
      <c r="Q42" s="71" t="inlineStr">
        <is>
          <t>11/07/2026 đặt PO</t>
        </is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7" t="n"/>
    </row>
    <row r="43" ht="28.5" customHeight="1" s="127">
      <c r="A43" s="173" t="inlineStr">
        <is>
          <t>mta0002 khớp nối New Jointer PA006</t>
        </is>
      </c>
      <c r="B43" s="106" t="inlineStr">
        <is>
          <t>輸送</t>
        </is>
      </c>
      <c r="C43" s="129" t="n"/>
      <c r="D43" s="107" t="inlineStr">
        <is>
          <t>日</t>
        </is>
      </c>
      <c r="E43" s="130" t="n"/>
      <c r="F43" s="131" t="n"/>
      <c r="G43" s="132">
        <f>DATE(B42,E42,1)</f>
        <v/>
      </c>
      <c r="H43" s="132">
        <f>IF(G43="","",IF(DAY(G43+1)=1,"",G43+1))</f>
        <v/>
      </c>
      <c r="I43" s="132">
        <f>IF(H43="","",IF(DAY(H43+1)=1,"",H43+1))</f>
        <v/>
      </c>
      <c r="J43" s="132">
        <f>IF(I43="","",IF(DAY(I43+1)=1,"",I43+1))</f>
        <v/>
      </c>
      <c r="K43" s="132">
        <f>IF(J43="","",IF(DAY(J43+1)=1,"",J43+1))</f>
        <v/>
      </c>
      <c r="L43" s="132">
        <f>IF(K43="","",IF(DAY(K43+1)=1,"",K43+1))</f>
        <v/>
      </c>
      <c r="M43" s="132">
        <f>IF(L43="","",IF(DAY(L43+1)=1,"",L43+1))</f>
        <v/>
      </c>
      <c r="N43" s="132">
        <f>IF(M43="","",IF(DAY(M43+1)=1,"",M43+1))</f>
        <v/>
      </c>
      <c r="O43" s="132">
        <f>IF(N43="","",IF(DAY(N43+1)=1,"",N43+1))</f>
        <v/>
      </c>
      <c r="P43" s="132">
        <f>IF(O43="","",IF(DAY(O43+1)=1,"",O43+1))</f>
        <v/>
      </c>
      <c r="Q43" s="132">
        <f>IF(P43="","",IF(DAY(P43+1)=1,"",P43+1))</f>
        <v/>
      </c>
      <c r="R43" s="132">
        <f>IF(Q43="","",IF(DAY(Q43+1)=1,"",Q43+1))</f>
        <v/>
      </c>
      <c r="S43" s="132">
        <f>IF(R43="","",IF(DAY(R43+1)=1,"",R43+1))</f>
        <v/>
      </c>
      <c r="T43" s="132">
        <f>IF(S43="","",IF(DAY(S43+1)=1,"",S43+1))</f>
        <v/>
      </c>
      <c r="U43" s="132">
        <f>IF(T43="","",IF(DAY(T43+1)=1,"",T43+1))</f>
        <v/>
      </c>
      <c r="V43" s="132">
        <f>IF(U43="","",IF(DAY(U43+1)=1,"",U43+1))</f>
        <v/>
      </c>
      <c r="W43" s="132">
        <f>IF(V43="","",IF(DAY(V43+1)=1,"",V43+1))</f>
        <v/>
      </c>
      <c r="X43" s="132">
        <f>IF(W43="","",IF(DAY(W43+1)=1,"",W43+1))</f>
        <v/>
      </c>
      <c r="Y43" s="132">
        <f>IF(X43="","",IF(DAY(X43+1)=1,"",X43+1))</f>
        <v/>
      </c>
      <c r="Z43" s="132">
        <f>IF(Y43="","",IF(DAY(Y43+1)=1,"",Y43+1))</f>
        <v/>
      </c>
      <c r="AA43" s="132">
        <f>IF(Z43="","",IF(DAY(Z43+1)=1,"",Z43+1))</f>
        <v/>
      </c>
      <c r="AB43" s="132">
        <f>IF(AA43="","",IF(DAY(AA43+1)=1,"",AA43+1))</f>
        <v/>
      </c>
      <c r="AC43" s="132">
        <f>IF(AB43="","",IF(DAY(AB43+1)=1,"",AB43+1))</f>
        <v/>
      </c>
      <c r="AD43" s="132">
        <f>IF(AC43="","",IF(DAY(AC43+1)=1,"",AC43+1))</f>
        <v/>
      </c>
      <c r="AE43" s="132">
        <f>IF(AD43="","",IF(DAY(AD43+1)=1,"",AD43+1))</f>
        <v/>
      </c>
      <c r="AF43" s="132">
        <f>IF(AE43="","",IF(DAY(AE43+1)=1,"",AE43+1))</f>
        <v/>
      </c>
      <c r="AG43" s="132">
        <f>IF(AF43="","",IF(DAY(AF43+1)=1,"",AF43+1))</f>
        <v/>
      </c>
      <c r="AH43" s="132">
        <f>IF(AG43="","",IF(DAY(AG43+1)=1,"",AG43+1))</f>
        <v/>
      </c>
      <c r="AI43" s="132">
        <f>IF(AH43="","",IF(DAY(AH43+1)=1,"",AH43+1))</f>
        <v/>
      </c>
      <c r="AJ43" s="132">
        <f>IF(AI43="","",IF(DAY(AI43+1)=1,"",AI43+1))</f>
        <v/>
      </c>
      <c r="AK43" s="132">
        <f>IF(AJ43="","",IF(DAY(AJ43+1)=1,"",AJ43+1))</f>
        <v/>
      </c>
      <c r="AL43" s="133" t="inlineStr">
        <is>
          <t>Total</t>
        </is>
      </c>
      <c r="AM43" s="7" t="n"/>
      <c r="AN43" s="21" t="n"/>
    </row>
    <row r="44">
      <c r="A44" s="134" t="n"/>
      <c r="B44" s="135" t="n"/>
      <c r="C44" s="136" t="n"/>
      <c r="D44" s="102" t="inlineStr">
        <is>
          <t>時間</t>
        </is>
      </c>
      <c r="E44" s="137" t="n"/>
      <c r="F44" s="138" t="n"/>
      <c r="G44" s="139">
        <f>+G43</f>
        <v/>
      </c>
      <c r="H44" s="139">
        <f>+H43</f>
        <v/>
      </c>
      <c r="I44" s="139">
        <f>+I43</f>
        <v/>
      </c>
      <c r="J44" s="139">
        <f>+J43</f>
        <v/>
      </c>
      <c r="K44" s="139">
        <f>+K43</f>
        <v/>
      </c>
      <c r="L44" s="139">
        <f>+L43</f>
        <v/>
      </c>
      <c r="M44" s="139">
        <f>+M43</f>
        <v/>
      </c>
      <c r="N44" s="139">
        <f>+N43</f>
        <v/>
      </c>
      <c r="O44" s="139">
        <f>+O43</f>
        <v/>
      </c>
      <c r="P44" s="139">
        <f>+P43</f>
        <v/>
      </c>
      <c r="Q44" s="139">
        <f>+Q43</f>
        <v/>
      </c>
      <c r="R44" s="139">
        <f>+R43</f>
        <v/>
      </c>
      <c r="S44" s="139">
        <f>+S43</f>
        <v/>
      </c>
      <c r="T44" s="139">
        <f>+T43</f>
        <v/>
      </c>
      <c r="U44" s="139">
        <f>+U43</f>
        <v/>
      </c>
      <c r="V44" s="139">
        <f>+V43</f>
        <v/>
      </c>
      <c r="W44" s="139">
        <f>+W43</f>
        <v/>
      </c>
      <c r="X44" s="139">
        <f>+X43</f>
        <v/>
      </c>
      <c r="Y44" s="139">
        <f>+Y43</f>
        <v/>
      </c>
      <c r="Z44" s="139">
        <f>+Z43</f>
        <v/>
      </c>
      <c r="AA44" s="139">
        <f>+AA43</f>
        <v/>
      </c>
      <c r="AB44" s="139">
        <f>+AB43</f>
        <v/>
      </c>
      <c r="AC44" s="139">
        <f>+AC43</f>
        <v/>
      </c>
      <c r="AD44" s="139">
        <f>+AD43</f>
        <v/>
      </c>
      <c r="AE44" s="139">
        <f>+AE43</f>
        <v/>
      </c>
      <c r="AF44" s="139">
        <f>+AF43</f>
        <v/>
      </c>
      <c r="AG44" s="139">
        <f>+AG43</f>
        <v/>
      </c>
      <c r="AH44" s="139">
        <f>+AH43</f>
        <v/>
      </c>
      <c r="AI44" s="139">
        <f>+AI43</f>
        <v/>
      </c>
      <c r="AJ44" s="139">
        <f>+AJ43</f>
        <v/>
      </c>
      <c r="AK44" s="139">
        <f>+AK43</f>
        <v/>
      </c>
      <c r="AL44" s="140" t="n"/>
      <c r="AM44" s="11" t="n"/>
      <c r="AN44" s="21" t="n"/>
    </row>
    <row r="45" ht="42" customHeight="1" s="127">
      <c r="A45" s="134" t="n"/>
      <c r="B45" s="174" t="inlineStr">
        <is>
          <t>PO 注文書</t>
        </is>
      </c>
      <c r="C45" s="142" t="n"/>
      <c r="D45" s="142" t="n"/>
      <c r="E45" s="142" t="n"/>
      <c r="F45" s="143" t="n"/>
      <c r="G45" s="144" t="n"/>
      <c r="H45" s="145" t="n"/>
      <c r="I45" s="144" t="n"/>
      <c r="J45" s="145" t="n"/>
      <c r="K45" s="145" t="n"/>
      <c r="L45" s="145" t="n"/>
      <c r="M45" s="145" t="n"/>
      <c r="N45" s="145" t="n"/>
      <c r="O45" s="145" t="n"/>
      <c r="P45" s="145" t="n"/>
      <c r="Q45" s="145" t="n">
        <v>2000</v>
      </c>
      <c r="R45" s="145" t="n"/>
      <c r="S45" s="145" t="n"/>
      <c r="T45" s="145" t="n"/>
      <c r="U45" s="145" t="n"/>
      <c r="V45" s="145" t="n"/>
      <c r="W45" s="145" t="n"/>
      <c r="X45" s="145" t="n"/>
      <c r="Y45" s="145" t="n"/>
      <c r="Z45" s="145" t="n"/>
      <c r="AA45" s="145" t="n"/>
      <c r="AB45" s="145" t="n"/>
      <c r="AC45" s="145" t="n"/>
      <c r="AD45" s="145" t="n"/>
      <c r="AE45" s="145" t="n"/>
      <c r="AF45" s="145" t="n"/>
      <c r="AG45" s="145" t="n"/>
      <c r="AH45" s="145" t="n"/>
      <c r="AI45" s="145" t="n"/>
      <c r="AJ45" s="145" t="n"/>
      <c r="AK45" s="145" t="n"/>
      <c r="AL45" s="146">
        <f>SUM(G45:AK45)</f>
        <v/>
      </c>
      <c r="AM45" s="11" t="n"/>
      <c r="AN45" s="147" t="inlineStr">
        <is>
          <t>Tồn PO
注文の 残量</t>
        </is>
      </c>
      <c r="AO45" s="148">
        <f>AL45</f>
        <v/>
      </c>
    </row>
    <row r="46" ht="63" customHeight="1" s="127">
      <c r="A46" s="134" t="n"/>
      <c r="B46" s="111" t="inlineStr">
        <is>
          <t xml:space="preserve">計画数量
kế hoạch </t>
        </is>
      </c>
      <c r="C46" s="149" t="n"/>
      <c r="D46" s="149" t="n"/>
      <c r="E46" s="149" t="n"/>
      <c r="F46" s="150" t="n"/>
      <c r="G46" s="144" t="n">
        <v>2000</v>
      </c>
      <c r="H46" s="144" t="n"/>
      <c r="I46" s="144" t="n"/>
      <c r="J46" s="145" t="n"/>
      <c r="K46" s="145" t="n"/>
      <c r="L46" s="145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5" t="n"/>
      <c r="W46" s="145" t="n"/>
      <c r="X46" s="145" t="n"/>
      <c r="Y46" s="145" t="n"/>
      <c r="Z46" s="145" t="n"/>
      <c r="AA46" s="145" t="n"/>
      <c r="AB46" s="145" t="n"/>
      <c r="AC46" s="145" t="n"/>
      <c r="AD46" s="145" t="n"/>
      <c r="AE46" s="145" t="n"/>
      <c r="AF46" s="145" t="n"/>
      <c r="AG46" s="145" t="n"/>
      <c r="AH46" s="145" t="n"/>
      <c r="AI46" s="145" t="n"/>
      <c r="AJ46" s="145" t="n"/>
      <c r="AK46" s="145" t="n"/>
      <c r="AL46" s="151">
        <f>SUM(G46:AK46)</f>
        <v/>
      </c>
      <c r="AM46" s="0" t="n"/>
      <c r="AN46" s="24" t="inlineStr">
        <is>
          <t>Tổng nhập 総入荷数量
（A)-(B)+(C)</t>
        </is>
      </c>
      <c r="AO46" s="152">
        <f>AL47-AL48+AL49</f>
        <v/>
      </c>
    </row>
    <row r="47" ht="105" customHeight="1" s="127">
      <c r="A47" s="134" t="n"/>
      <c r="B47" s="111" t="inlineStr">
        <is>
          <t>実際の納品数量
số lượng thực nhập</t>
        </is>
      </c>
      <c r="C47" s="149" t="n"/>
      <c r="D47" s="149" t="n"/>
      <c r="E47" s="149" t="n"/>
      <c r="F47" s="150" t="n"/>
      <c r="G47" s="153" t="n"/>
      <c r="H47" s="153" t="n"/>
      <c r="I47" s="154" t="n"/>
      <c r="J47" s="145" t="n"/>
      <c r="K47" s="156" t="n"/>
      <c r="L47" s="156" t="n"/>
      <c r="M47" s="155" t="n"/>
      <c r="N47" s="155" t="n"/>
      <c r="O47" s="155" t="n"/>
      <c r="P47" s="155" t="n"/>
      <c r="Q47" s="156" t="n"/>
      <c r="R47" s="156" t="n"/>
      <c r="S47" s="156" t="n"/>
      <c r="T47" s="156" t="n"/>
      <c r="U47" s="156" t="n"/>
      <c r="V47" s="156" t="n"/>
      <c r="W47" s="156" t="n"/>
      <c r="X47" s="156" t="n"/>
      <c r="Y47" s="156" t="n"/>
      <c r="Z47" s="156" t="n"/>
      <c r="AA47" s="156" t="n"/>
      <c r="AB47" s="156" t="n"/>
      <c r="AC47" s="155" t="n"/>
      <c r="AD47" s="155" t="n"/>
      <c r="AE47" s="156" t="n"/>
      <c r="AF47" s="156" t="n"/>
      <c r="AG47" s="155" t="n"/>
      <c r="AH47" s="155" t="n"/>
      <c r="AI47" s="156" t="n"/>
      <c r="AJ47" s="156" t="n"/>
      <c r="AK47" s="156" t="n"/>
      <c r="AL47" s="157">
        <f>SUM(G47:AK47)</f>
        <v/>
      </c>
      <c r="AM47" s="6" t="inlineStr">
        <is>
          <t>(A)</t>
        </is>
      </c>
      <c r="AN47" s="24" t="inlineStr">
        <is>
          <t>Số lượng chưa khai tháng trước 先月まだ税関に申告されていない数量</t>
        </is>
      </c>
      <c r="AO47" s="148">
        <f>AO40</f>
        <v/>
      </c>
    </row>
    <row r="48" ht="84" customHeight="1" s="127">
      <c r="A48" s="134" t="n"/>
      <c r="B48" s="111" t="inlineStr">
        <is>
          <t>NG数量（DO SUNG 社変更済）
số lượng NG (Trả hàng DO SUNG)</t>
        </is>
      </c>
      <c r="C48" s="149" t="n"/>
      <c r="D48" s="149" t="n"/>
      <c r="E48" s="149" t="n"/>
      <c r="F48" s="150" t="n"/>
      <c r="G48" s="144" t="n"/>
      <c r="H48" s="144" t="n"/>
      <c r="I48" s="144" t="n"/>
      <c r="J48" s="145" t="n"/>
      <c r="K48" s="145" t="n"/>
      <c r="L48" s="145" t="n"/>
      <c r="M48" s="145" t="n"/>
      <c r="N48" s="145" t="n"/>
      <c r="O48" s="145" t="n"/>
      <c r="P48" s="145" t="n"/>
      <c r="Q48" s="145" t="n"/>
      <c r="R48" s="145" t="n"/>
      <c r="S48" s="145" t="n"/>
      <c r="T48" s="145" t="n"/>
      <c r="U48" s="145" t="n"/>
      <c r="V48" s="145" t="n"/>
      <c r="W48" s="145" t="n"/>
      <c r="X48" s="145" t="n"/>
      <c r="Y48" s="145" t="n"/>
      <c r="Z48" s="145" t="n"/>
      <c r="AA48" s="145" t="n"/>
      <c r="AB48" s="145" t="n"/>
      <c r="AC48" s="145" t="n"/>
      <c r="AD48" s="145" t="n"/>
      <c r="AE48" s="145" t="n"/>
      <c r="AF48" s="145" t="n"/>
      <c r="AG48" s="145" t="n"/>
      <c r="AH48" s="145" t="n"/>
      <c r="AI48" s="145" t="n"/>
      <c r="AJ48" s="145" t="n"/>
      <c r="AK48" s="145" t="n"/>
      <c r="AL48" s="158">
        <f>SUM(G48:AK48)</f>
        <v/>
      </c>
      <c r="AM48" s="6" t="inlineStr">
        <is>
          <t>(B)</t>
        </is>
      </c>
      <c r="AN48" s="24" t="inlineStr">
        <is>
          <t>Số lượng đã khai tháng này 今月税関に申告された数量</t>
        </is>
      </c>
      <c r="AO48" s="26" t="n"/>
    </row>
    <row r="49" ht="105.75" customHeight="1" s="127" thickBot="1">
      <c r="A49" s="159" t="n"/>
      <c r="B49" s="109" t="inlineStr">
        <is>
          <t>NG数量（ドンスン　社しゅり済）
số lượng NG (DO SUNG đã sửa )</t>
        </is>
      </c>
      <c r="C49" s="160" t="n"/>
      <c r="D49" s="160" t="n"/>
      <c r="E49" s="160" t="n"/>
      <c r="F49" s="161" t="n"/>
      <c r="G49" s="162" t="n"/>
      <c r="H49" s="162" t="n"/>
      <c r="I49" s="163" t="n"/>
      <c r="J49" s="164" t="n"/>
      <c r="K49" s="165" t="n"/>
      <c r="L49" s="164" t="n"/>
      <c r="M49" s="164" t="n"/>
      <c r="N49" s="164" t="n"/>
      <c r="O49" s="164" t="n"/>
      <c r="P49" s="164" t="n"/>
      <c r="Q49" s="164" t="n"/>
      <c r="R49" s="165" t="n"/>
      <c r="S49" s="164" t="n"/>
      <c r="T49" s="164" t="n"/>
      <c r="U49" s="164" t="n"/>
      <c r="V49" s="164" t="n"/>
      <c r="W49" s="164" t="n"/>
      <c r="X49" s="164" t="n"/>
      <c r="Y49" s="165" t="n"/>
      <c r="Z49" s="164" t="n"/>
      <c r="AA49" s="164" t="n"/>
      <c r="AB49" s="164" t="n"/>
      <c r="AC49" s="164" t="n"/>
      <c r="AD49" s="164" t="n"/>
      <c r="AE49" s="165" t="n"/>
      <c r="AF49" s="165" t="n"/>
      <c r="AG49" s="164" t="n"/>
      <c r="AH49" s="164" t="n"/>
      <c r="AI49" s="164" t="n"/>
      <c r="AJ49" s="165" t="n"/>
      <c r="AK49" s="165" t="n"/>
      <c r="AL49" s="166">
        <f>SUM(G49:AK49)</f>
        <v/>
      </c>
      <c r="AM49" s="6" t="inlineStr">
        <is>
          <t>(C)</t>
        </is>
      </c>
      <c r="AN49" s="24" t="inlineStr">
        <is>
          <t>Số lượng còn lại chưa khai 残りの数量はまだ税関に申告されていません</t>
        </is>
      </c>
      <c r="AO49" s="148">
        <f>AO47+AO46-AO48</f>
        <v/>
      </c>
    </row>
  </sheetData>
  <mergeCells count="57">
    <mergeCell ref="AG4:AK4"/>
    <mergeCell ref="B47:F47"/>
    <mergeCell ref="B15:C16"/>
    <mergeCell ref="B6:C7"/>
    <mergeCell ref="B46:F46"/>
    <mergeCell ref="B24:C25"/>
    <mergeCell ref="D7:F7"/>
    <mergeCell ref="B18:F18"/>
    <mergeCell ref="D16:F16"/>
    <mergeCell ref="B27:F27"/>
    <mergeCell ref="D43:F43"/>
    <mergeCell ref="B21:F21"/>
    <mergeCell ref="B12:F12"/>
    <mergeCell ref="B39:F39"/>
    <mergeCell ref="B48:F48"/>
    <mergeCell ref="B33:C34"/>
    <mergeCell ref="B11:F11"/>
    <mergeCell ref="A33:A39"/>
    <mergeCell ref="B42:C42"/>
    <mergeCell ref="B23:C23"/>
    <mergeCell ref="B14:C14"/>
    <mergeCell ref="B8:F8"/>
    <mergeCell ref="D25:F25"/>
    <mergeCell ref="D15:F15"/>
    <mergeCell ref="B17:F17"/>
    <mergeCell ref="A15:A21"/>
    <mergeCell ref="AL24:AL25"/>
    <mergeCell ref="D24:F24"/>
    <mergeCell ref="D33:F33"/>
    <mergeCell ref="A43:A49"/>
    <mergeCell ref="B29:F29"/>
    <mergeCell ref="AL43:AL44"/>
    <mergeCell ref="B38:F38"/>
    <mergeCell ref="B10:F10"/>
    <mergeCell ref="B28:F28"/>
    <mergeCell ref="B19:F19"/>
    <mergeCell ref="B37:F37"/>
    <mergeCell ref="A24:A30"/>
    <mergeCell ref="B1:AM3"/>
    <mergeCell ref="D44:F44"/>
    <mergeCell ref="AL33:AL34"/>
    <mergeCell ref="B9:F9"/>
    <mergeCell ref="D34:F34"/>
    <mergeCell ref="B49:F49"/>
    <mergeCell ref="B43:C44"/>
    <mergeCell ref="B30:F30"/>
    <mergeCell ref="B20:F20"/>
    <mergeCell ref="B5:C5"/>
    <mergeCell ref="B45:F45"/>
    <mergeCell ref="B32:C32"/>
    <mergeCell ref="A6:A12"/>
    <mergeCell ref="AL15:AL16"/>
    <mergeCell ref="B36:F36"/>
    <mergeCell ref="AL6:AL7"/>
    <mergeCell ref="D6:F6"/>
    <mergeCell ref="B26:F26"/>
    <mergeCell ref="B35:F35"/>
  </mergeCells>
  <conditionalFormatting sqref="G6:AK7">
    <cfRule type="expression" priority="19" dxfId="1" stopIfTrue="1">
      <formula>WEEKDAY(G6)=7</formula>
    </cfRule>
    <cfRule type="expression" priority="20" dxfId="0" stopIfTrue="1">
      <formula>WEEKDAY(G6)=1</formula>
    </cfRule>
  </conditionalFormatting>
  <conditionalFormatting sqref="G15:AK16">
    <cfRule type="expression" priority="15" dxfId="1" stopIfTrue="1">
      <formula>WEEKDAY(G15)=7</formula>
    </cfRule>
    <cfRule type="expression" priority="16" dxfId="0" stopIfTrue="1">
      <formula>WEEKDAY(G15)=1</formula>
    </cfRule>
  </conditionalFormatting>
  <conditionalFormatting sqref="G24:AK25">
    <cfRule type="expression" priority="11" dxfId="1" stopIfTrue="1">
      <formula>WEEKDAY(G24)=7</formula>
    </cfRule>
    <cfRule type="expression" priority="12" dxfId="0" stopIfTrue="1">
      <formula>WEEKDAY(G24)=1</formula>
    </cfRule>
  </conditionalFormatting>
  <conditionalFormatting sqref="G33:AK34">
    <cfRule type="expression" priority="7" dxfId="1" stopIfTrue="1">
      <formula>WEEKDAY(G33)=7</formula>
    </cfRule>
    <cfRule type="expression" priority="8" dxfId="0" stopIfTrue="1">
      <formula>WEEKDAY(G33)=1</formula>
    </cfRule>
  </conditionalFormatting>
  <conditionalFormatting sqref="G43:AK44">
    <cfRule type="expression" priority="3" dxfId="1" stopIfTrue="1">
      <formula>WEEKDAY(G43)=7</formula>
    </cfRule>
    <cfRule type="expression" priority="4" dxfId="0" stopIfTrue="1">
      <formula>WEEKDAY(G43)=1</formula>
    </cfRule>
  </conditionalFormatting>
  <conditionalFormatting sqref="AL6">
    <cfRule type="expression" priority="17" dxfId="1" stopIfTrue="1">
      <formula>WEEKDAY(AL6)=7</formula>
    </cfRule>
    <cfRule type="expression" priority="18" dxfId="0" stopIfTrue="1">
      <formula>WEEKDAY(AL6)=1</formula>
    </cfRule>
  </conditionalFormatting>
  <conditionalFormatting sqref="AL15">
    <cfRule type="expression" priority="13" dxfId="1" stopIfTrue="1">
      <formula>WEEKDAY(AL15)=7</formula>
    </cfRule>
    <cfRule type="expression" priority="14" dxfId="0" stopIfTrue="1">
      <formula>WEEKDAY(AL15)=1</formula>
    </cfRule>
  </conditionalFormatting>
  <conditionalFormatting sqref="AL24">
    <cfRule type="expression" priority="9" dxfId="1" stopIfTrue="1">
      <formula>WEEKDAY(AL24)=7</formula>
    </cfRule>
    <cfRule type="expression" priority="10" dxfId="0" stopIfTrue="1">
      <formula>WEEKDAY(AL24)=1</formula>
    </cfRule>
  </conditionalFormatting>
  <conditionalFormatting sqref="AL33">
    <cfRule type="expression" priority="5" dxfId="1" stopIfTrue="1">
      <formula>WEEKDAY(AL33)=7</formula>
    </cfRule>
    <cfRule type="expression" priority="6" dxfId="0" stopIfTrue="1">
      <formula>WEEKDAY(AL33)=1</formula>
    </cfRule>
  </conditionalFormatting>
  <conditionalFormatting sqref="AL43">
    <cfRule type="expression" priority="1" dxfId="1" stopIfTrue="1">
      <formula>WEEKDAY(AL43)=7</formula>
    </cfRule>
    <cfRule type="expression" priority="2" dxfId="0" stopIfTrue="1">
      <formula>WEEKDAY(AL43)=1</formula>
    </cfRule>
  </conditionalFormatting>
  <printOptions horizontalCentered="1"/>
  <pageMargins left="0.17" right="0.17" top="0.17" bottom="0.17" header="0.17" footer="0.17"/>
  <pageSetup orientation="landscape" paperSize="9" scale="2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O49"/>
  <sheetViews>
    <sheetView showGridLines="0" view="pageBreakPreview" zoomScale="60" zoomScaleNormal="100" workbookViewId="0">
      <pane xSplit="6" ySplit="3" topLeftCell="G36" activePane="bottomRight" state="frozen"/>
      <selection pane="topRight" activeCell="G1" sqref="G1"/>
      <selection pane="bottomLeft" activeCell="A4" sqref="A4"/>
      <selection pane="bottomRight" activeCell="P47" sqref="P47"/>
    </sheetView>
  </sheetViews>
  <sheetFormatPr baseColWidth="8" defaultColWidth="9" defaultRowHeight="21"/>
  <cols>
    <col width="14.140625" customWidth="1" style="1" min="1" max="1"/>
    <col width="3.7109375" customWidth="1" style="1" min="2" max="2"/>
    <col width="7.5703125" customWidth="1" style="1" min="3" max="3"/>
    <col width="2.5703125" customWidth="1" style="1" min="4" max="4"/>
    <col width="9" customWidth="1" style="1" min="5" max="5"/>
    <col width="21.28515625" customWidth="1" style="1" min="6" max="6"/>
    <col width="10" customWidth="1" style="1" min="7" max="37"/>
    <col width="16" bestFit="1" customWidth="1" style="1" min="38" max="38"/>
    <col width="6" customWidth="1" style="1" min="39" max="39"/>
    <col width="25.140625" customWidth="1" style="2" min="40" max="40"/>
    <col width="16.85546875" customWidth="1" style="20" min="41" max="41"/>
    <col width="3.7109375" customWidth="1" style="127" min="255" max="257"/>
    <col width="2.5703125" customWidth="1" style="127" min="258" max="261"/>
    <col width="3.7109375" customWidth="1" style="127" min="262" max="264"/>
    <col width="4.42578125" customWidth="1" style="127" min="265" max="295"/>
    <col width="9" customWidth="1" style="127" min="296" max="296"/>
    <col width="3.7109375" customWidth="1" style="127" min="511" max="513"/>
    <col width="2.5703125" customWidth="1" style="127" min="514" max="517"/>
    <col width="3.7109375" customWidth="1" style="127" min="518" max="520"/>
    <col width="4.42578125" customWidth="1" style="127" min="521" max="551"/>
    <col width="9" customWidth="1" style="127" min="552" max="552"/>
    <col width="3.7109375" customWidth="1" style="127" min="767" max="769"/>
    <col width="2.5703125" customWidth="1" style="127" min="770" max="773"/>
    <col width="3.7109375" customWidth="1" style="127" min="774" max="776"/>
    <col width="4.42578125" customWidth="1" style="127" min="777" max="807"/>
    <col width="9" customWidth="1" style="127" min="808" max="808"/>
    <col width="3.7109375" customWidth="1" style="127" min="1023" max="1025"/>
    <col width="2.5703125" customWidth="1" style="127" min="1026" max="1029"/>
    <col width="3.7109375" customWidth="1" style="127" min="1030" max="1032"/>
    <col width="4.42578125" customWidth="1" style="127" min="1033" max="1063"/>
    <col width="9" customWidth="1" style="127" min="1064" max="1064"/>
    <col width="3.7109375" customWidth="1" style="127" min="1279" max="1281"/>
    <col width="2.5703125" customWidth="1" style="127" min="1282" max="1285"/>
    <col width="3.7109375" customWidth="1" style="127" min="1286" max="1288"/>
    <col width="4.42578125" customWidth="1" style="127" min="1289" max="1319"/>
    <col width="9" customWidth="1" style="127" min="1320" max="1320"/>
    <col width="3.7109375" customWidth="1" style="127" min="1535" max="1537"/>
    <col width="2.5703125" customWidth="1" style="127" min="1538" max="1541"/>
    <col width="3.7109375" customWidth="1" style="127" min="1542" max="1544"/>
    <col width="4.42578125" customWidth="1" style="127" min="1545" max="1575"/>
    <col width="9" customWidth="1" style="127" min="1576" max="1576"/>
    <col width="3.7109375" customWidth="1" style="127" min="1791" max="1793"/>
    <col width="2.5703125" customWidth="1" style="127" min="1794" max="1797"/>
    <col width="3.7109375" customWidth="1" style="127" min="1798" max="1800"/>
    <col width="4.42578125" customWidth="1" style="127" min="1801" max="1831"/>
    <col width="9" customWidth="1" style="127" min="1832" max="1832"/>
    <col width="3.7109375" customWidth="1" style="127" min="2047" max="2049"/>
    <col width="2.5703125" customWidth="1" style="127" min="2050" max="2053"/>
    <col width="3.7109375" customWidth="1" style="127" min="2054" max="2056"/>
    <col width="4.42578125" customWidth="1" style="127" min="2057" max="2087"/>
    <col width="9" customWidth="1" style="127" min="2088" max="2088"/>
    <col width="3.7109375" customWidth="1" style="127" min="2303" max="2305"/>
    <col width="2.5703125" customWidth="1" style="127" min="2306" max="2309"/>
    <col width="3.7109375" customWidth="1" style="127" min="2310" max="2312"/>
    <col width="4.42578125" customWidth="1" style="127" min="2313" max="2343"/>
    <col width="9" customWidth="1" style="127" min="2344" max="2344"/>
    <col width="3.7109375" customWidth="1" style="127" min="2559" max="2561"/>
    <col width="2.5703125" customWidth="1" style="127" min="2562" max="2565"/>
    <col width="3.7109375" customWidth="1" style="127" min="2566" max="2568"/>
    <col width="4.42578125" customWidth="1" style="127" min="2569" max="2599"/>
    <col width="9" customWidth="1" style="127" min="2600" max="2600"/>
    <col width="3.7109375" customWidth="1" style="127" min="2815" max="2817"/>
    <col width="2.5703125" customWidth="1" style="127" min="2818" max="2821"/>
    <col width="3.7109375" customWidth="1" style="127" min="2822" max="2824"/>
    <col width="4.42578125" customWidth="1" style="127" min="2825" max="2855"/>
    <col width="9" customWidth="1" style="127" min="2856" max="2856"/>
    <col width="3.7109375" customWidth="1" style="127" min="3071" max="3073"/>
    <col width="2.5703125" customWidth="1" style="127" min="3074" max="3077"/>
    <col width="3.7109375" customWidth="1" style="127" min="3078" max="3080"/>
    <col width="4.42578125" customWidth="1" style="127" min="3081" max="3111"/>
    <col width="9" customWidth="1" style="127" min="3112" max="3112"/>
    <col width="3.7109375" customWidth="1" style="127" min="3327" max="3329"/>
    <col width="2.5703125" customWidth="1" style="127" min="3330" max="3333"/>
    <col width="3.7109375" customWidth="1" style="127" min="3334" max="3336"/>
    <col width="4.42578125" customWidth="1" style="127" min="3337" max="3367"/>
    <col width="9" customWidth="1" style="127" min="3368" max="3368"/>
    <col width="3.7109375" customWidth="1" style="127" min="3583" max="3585"/>
    <col width="2.5703125" customWidth="1" style="127" min="3586" max="3589"/>
    <col width="3.7109375" customWidth="1" style="127" min="3590" max="3592"/>
    <col width="4.42578125" customWidth="1" style="127" min="3593" max="3623"/>
    <col width="9" customWidth="1" style="127" min="3624" max="3624"/>
    <col width="3.7109375" customWidth="1" style="127" min="3839" max="3841"/>
    <col width="2.5703125" customWidth="1" style="127" min="3842" max="3845"/>
    <col width="3.7109375" customWidth="1" style="127" min="3846" max="3848"/>
    <col width="4.42578125" customWidth="1" style="127" min="3849" max="3879"/>
    <col width="9" customWidth="1" style="127" min="3880" max="3880"/>
    <col width="3.7109375" customWidth="1" style="127" min="4095" max="4097"/>
    <col width="2.5703125" customWidth="1" style="127" min="4098" max="4101"/>
    <col width="3.7109375" customWidth="1" style="127" min="4102" max="4104"/>
    <col width="4.42578125" customWidth="1" style="127" min="4105" max="4135"/>
    <col width="9" customWidth="1" style="127" min="4136" max="4136"/>
    <col width="3.7109375" customWidth="1" style="127" min="4351" max="4353"/>
    <col width="2.5703125" customWidth="1" style="127" min="4354" max="4357"/>
    <col width="3.7109375" customWidth="1" style="127" min="4358" max="4360"/>
    <col width="4.42578125" customWidth="1" style="127" min="4361" max="4391"/>
    <col width="9" customWidth="1" style="127" min="4392" max="4392"/>
    <col width="3.7109375" customWidth="1" style="127" min="4607" max="4609"/>
    <col width="2.5703125" customWidth="1" style="127" min="4610" max="4613"/>
    <col width="3.7109375" customWidth="1" style="127" min="4614" max="4616"/>
    <col width="4.42578125" customWidth="1" style="127" min="4617" max="4647"/>
    <col width="9" customWidth="1" style="127" min="4648" max="4648"/>
    <col width="3.7109375" customWidth="1" style="127" min="4863" max="4865"/>
    <col width="2.5703125" customWidth="1" style="127" min="4866" max="4869"/>
    <col width="3.7109375" customWidth="1" style="127" min="4870" max="4872"/>
    <col width="4.42578125" customWidth="1" style="127" min="4873" max="4903"/>
    <col width="9" customWidth="1" style="127" min="4904" max="4904"/>
    <col width="3.7109375" customWidth="1" style="127" min="5119" max="5121"/>
    <col width="2.5703125" customWidth="1" style="127" min="5122" max="5125"/>
    <col width="3.7109375" customWidth="1" style="127" min="5126" max="5128"/>
    <col width="4.42578125" customWidth="1" style="127" min="5129" max="5159"/>
    <col width="9" customWidth="1" style="127" min="5160" max="5160"/>
    <col width="3.7109375" customWidth="1" style="127" min="5375" max="5377"/>
    <col width="2.5703125" customWidth="1" style="127" min="5378" max="5381"/>
    <col width="3.7109375" customWidth="1" style="127" min="5382" max="5384"/>
    <col width="4.42578125" customWidth="1" style="127" min="5385" max="5415"/>
    <col width="9" customWidth="1" style="127" min="5416" max="5416"/>
    <col width="3.7109375" customWidth="1" style="127" min="5631" max="5633"/>
    <col width="2.5703125" customWidth="1" style="127" min="5634" max="5637"/>
    <col width="3.7109375" customWidth="1" style="127" min="5638" max="5640"/>
    <col width="4.42578125" customWidth="1" style="127" min="5641" max="5671"/>
    <col width="9" customWidth="1" style="127" min="5672" max="5672"/>
    <col width="3.7109375" customWidth="1" style="127" min="5887" max="5889"/>
    <col width="2.5703125" customWidth="1" style="127" min="5890" max="5893"/>
    <col width="3.7109375" customWidth="1" style="127" min="5894" max="5896"/>
    <col width="4.42578125" customWidth="1" style="127" min="5897" max="5927"/>
    <col width="9" customWidth="1" style="127" min="5928" max="5928"/>
    <col width="3.7109375" customWidth="1" style="127" min="6143" max="6145"/>
    <col width="2.5703125" customWidth="1" style="127" min="6146" max="6149"/>
    <col width="3.7109375" customWidth="1" style="127" min="6150" max="6152"/>
    <col width="4.42578125" customWidth="1" style="127" min="6153" max="6183"/>
    <col width="9" customWidth="1" style="127" min="6184" max="6184"/>
    <col width="3.7109375" customWidth="1" style="127" min="6399" max="6401"/>
    <col width="2.5703125" customWidth="1" style="127" min="6402" max="6405"/>
    <col width="3.7109375" customWidth="1" style="127" min="6406" max="6408"/>
    <col width="4.42578125" customWidth="1" style="127" min="6409" max="6439"/>
    <col width="9" customWidth="1" style="127" min="6440" max="6440"/>
    <col width="3.7109375" customWidth="1" style="127" min="6655" max="6657"/>
    <col width="2.5703125" customWidth="1" style="127" min="6658" max="6661"/>
    <col width="3.7109375" customWidth="1" style="127" min="6662" max="6664"/>
    <col width="4.42578125" customWidth="1" style="127" min="6665" max="6695"/>
    <col width="9" customWidth="1" style="127" min="6696" max="6696"/>
    <col width="3.7109375" customWidth="1" style="127" min="6911" max="6913"/>
    <col width="2.5703125" customWidth="1" style="127" min="6914" max="6917"/>
    <col width="3.7109375" customWidth="1" style="127" min="6918" max="6920"/>
    <col width="4.42578125" customWidth="1" style="127" min="6921" max="6951"/>
    <col width="9" customWidth="1" style="127" min="6952" max="6952"/>
    <col width="3.7109375" customWidth="1" style="127" min="7167" max="7169"/>
    <col width="2.5703125" customWidth="1" style="127" min="7170" max="7173"/>
    <col width="3.7109375" customWidth="1" style="127" min="7174" max="7176"/>
    <col width="4.42578125" customWidth="1" style="127" min="7177" max="7207"/>
    <col width="9" customWidth="1" style="127" min="7208" max="7208"/>
    <col width="3.7109375" customWidth="1" style="127" min="7423" max="7425"/>
    <col width="2.5703125" customWidth="1" style="127" min="7426" max="7429"/>
    <col width="3.7109375" customWidth="1" style="127" min="7430" max="7432"/>
    <col width="4.42578125" customWidth="1" style="127" min="7433" max="7463"/>
    <col width="9" customWidth="1" style="127" min="7464" max="7464"/>
    <col width="3.7109375" customWidth="1" style="127" min="7679" max="7681"/>
    <col width="2.5703125" customWidth="1" style="127" min="7682" max="7685"/>
    <col width="3.7109375" customWidth="1" style="127" min="7686" max="7688"/>
    <col width="4.42578125" customWidth="1" style="127" min="7689" max="7719"/>
    <col width="9" customWidth="1" style="127" min="7720" max="7720"/>
    <col width="3.7109375" customWidth="1" style="127" min="7935" max="7937"/>
    <col width="2.5703125" customWidth="1" style="127" min="7938" max="7941"/>
    <col width="3.7109375" customWidth="1" style="127" min="7942" max="7944"/>
    <col width="4.42578125" customWidth="1" style="127" min="7945" max="7975"/>
    <col width="9" customWidth="1" style="127" min="7976" max="7976"/>
    <col width="3.7109375" customWidth="1" style="127" min="8191" max="8193"/>
    <col width="2.5703125" customWidth="1" style="127" min="8194" max="8197"/>
    <col width="3.7109375" customWidth="1" style="127" min="8198" max="8200"/>
    <col width="4.42578125" customWidth="1" style="127" min="8201" max="8231"/>
    <col width="9" customWidth="1" style="127" min="8232" max="8232"/>
    <col width="3.7109375" customWidth="1" style="127" min="8447" max="8449"/>
    <col width="2.5703125" customWidth="1" style="127" min="8450" max="8453"/>
    <col width="3.7109375" customWidth="1" style="127" min="8454" max="8456"/>
    <col width="4.42578125" customWidth="1" style="127" min="8457" max="8487"/>
    <col width="9" customWidth="1" style="127" min="8488" max="8488"/>
    <col width="3.7109375" customWidth="1" style="127" min="8703" max="8705"/>
    <col width="2.5703125" customWidth="1" style="127" min="8706" max="8709"/>
    <col width="3.7109375" customWidth="1" style="127" min="8710" max="8712"/>
    <col width="4.42578125" customWidth="1" style="127" min="8713" max="8743"/>
    <col width="9" customWidth="1" style="127" min="8744" max="8744"/>
    <col width="3.7109375" customWidth="1" style="127" min="8959" max="8961"/>
    <col width="2.5703125" customWidth="1" style="127" min="8962" max="8965"/>
    <col width="3.7109375" customWidth="1" style="127" min="8966" max="8968"/>
    <col width="4.42578125" customWidth="1" style="127" min="8969" max="8999"/>
    <col width="9" customWidth="1" style="127" min="9000" max="9000"/>
    <col width="3.7109375" customWidth="1" style="127" min="9215" max="9217"/>
    <col width="2.5703125" customWidth="1" style="127" min="9218" max="9221"/>
    <col width="3.7109375" customWidth="1" style="127" min="9222" max="9224"/>
    <col width="4.42578125" customWidth="1" style="127" min="9225" max="9255"/>
    <col width="9" customWidth="1" style="127" min="9256" max="9256"/>
    <col width="3.7109375" customWidth="1" style="127" min="9471" max="9473"/>
    <col width="2.5703125" customWidth="1" style="127" min="9474" max="9477"/>
    <col width="3.7109375" customWidth="1" style="127" min="9478" max="9480"/>
    <col width="4.42578125" customWidth="1" style="127" min="9481" max="9511"/>
    <col width="9" customWidth="1" style="127" min="9512" max="9512"/>
    <col width="3.7109375" customWidth="1" style="127" min="9727" max="9729"/>
    <col width="2.5703125" customWidth="1" style="127" min="9730" max="9733"/>
    <col width="3.7109375" customWidth="1" style="127" min="9734" max="9736"/>
    <col width="4.42578125" customWidth="1" style="127" min="9737" max="9767"/>
    <col width="9" customWidth="1" style="127" min="9768" max="9768"/>
    <col width="3.7109375" customWidth="1" style="127" min="9983" max="9985"/>
    <col width="2.5703125" customWidth="1" style="127" min="9986" max="9989"/>
    <col width="3.7109375" customWidth="1" style="127" min="9990" max="9992"/>
    <col width="4.42578125" customWidth="1" style="127" min="9993" max="10023"/>
    <col width="9" customWidth="1" style="127" min="10024" max="10024"/>
    <col width="3.7109375" customWidth="1" style="127" min="10239" max="10241"/>
    <col width="2.5703125" customWidth="1" style="127" min="10242" max="10245"/>
    <col width="3.7109375" customWidth="1" style="127" min="10246" max="10248"/>
    <col width="4.42578125" customWidth="1" style="127" min="10249" max="10279"/>
    <col width="9" customWidth="1" style="127" min="10280" max="10280"/>
    <col width="3.7109375" customWidth="1" style="127" min="10495" max="10497"/>
    <col width="2.5703125" customWidth="1" style="127" min="10498" max="10501"/>
    <col width="3.7109375" customWidth="1" style="127" min="10502" max="10504"/>
    <col width="4.42578125" customWidth="1" style="127" min="10505" max="10535"/>
    <col width="9" customWidth="1" style="127" min="10536" max="10536"/>
    <col width="3.7109375" customWidth="1" style="127" min="10751" max="10753"/>
    <col width="2.5703125" customWidth="1" style="127" min="10754" max="10757"/>
    <col width="3.7109375" customWidth="1" style="127" min="10758" max="10760"/>
    <col width="4.42578125" customWidth="1" style="127" min="10761" max="10791"/>
    <col width="9" customWidth="1" style="127" min="10792" max="10792"/>
    <col width="3.7109375" customWidth="1" style="127" min="11007" max="11009"/>
    <col width="2.5703125" customWidth="1" style="127" min="11010" max="11013"/>
    <col width="3.7109375" customWidth="1" style="127" min="11014" max="11016"/>
    <col width="4.42578125" customWidth="1" style="127" min="11017" max="11047"/>
    <col width="9" customWidth="1" style="127" min="11048" max="11048"/>
    <col width="3.7109375" customWidth="1" style="127" min="11263" max="11265"/>
    <col width="2.5703125" customWidth="1" style="127" min="11266" max="11269"/>
    <col width="3.7109375" customWidth="1" style="127" min="11270" max="11272"/>
    <col width="4.42578125" customWidth="1" style="127" min="11273" max="11303"/>
    <col width="9" customWidth="1" style="127" min="11304" max="11304"/>
    <col width="3.7109375" customWidth="1" style="127" min="11519" max="11521"/>
    <col width="2.5703125" customWidth="1" style="127" min="11522" max="11525"/>
    <col width="3.7109375" customWidth="1" style="127" min="11526" max="11528"/>
    <col width="4.42578125" customWidth="1" style="127" min="11529" max="11559"/>
    <col width="9" customWidth="1" style="127" min="11560" max="11560"/>
    <col width="3.7109375" customWidth="1" style="127" min="11775" max="11777"/>
    <col width="2.5703125" customWidth="1" style="127" min="11778" max="11781"/>
    <col width="3.7109375" customWidth="1" style="127" min="11782" max="11784"/>
    <col width="4.42578125" customWidth="1" style="127" min="11785" max="11815"/>
    <col width="9" customWidth="1" style="127" min="11816" max="11816"/>
    <col width="3.7109375" customWidth="1" style="127" min="12031" max="12033"/>
    <col width="2.5703125" customWidth="1" style="127" min="12034" max="12037"/>
    <col width="3.7109375" customWidth="1" style="127" min="12038" max="12040"/>
    <col width="4.42578125" customWidth="1" style="127" min="12041" max="12071"/>
    <col width="9" customWidth="1" style="127" min="12072" max="12072"/>
    <col width="3.7109375" customWidth="1" style="127" min="12287" max="12289"/>
    <col width="2.5703125" customWidth="1" style="127" min="12290" max="12293"/>
    <col width="3.7109375" customWidth="1" style="127" min="12294" max="12296"/>
    <col width="4.42578125" customWidth="1" style="127" min="12297" max="12327"/>
    <col width="9" customWidth="1" style="127" min="12328" max="12328"/>
    <col width="3.7109375" customWidth="1" style="127" min="12543" max="12545"/>
    <col width="2.5703125" customWidth="1" style="127" min="12546" max="12549"/>
    <col width="3.7109375" customWidth="1" style="127" min="12550" max="12552"/>
    <col width="4.42578125" customWidth="1" style="127" min="12553" max="12583"/>
    <col width="9" customWidth="1" style="127" min="12584" max="12584"/>
    <col width="3.7109375" customWidth="1" style="127" min="12799" max="12801"/>
    <col width="2.5703125" customWidth="1" style="127" min="12802" max="12805"/>
    <col width="3.7109375" customWidth="1" style="127" min="12806" max="12808"/>
    <col width="4.42578125" customWidth="1" style="127" min="12809" max="12839"/>
    <col width="9" customWidth="1" style="127" min="12840" max="12840"/>
    <col width="3.7109375" customWidth="1" style="127" min="13055" max="13057"/>
    <col width="2.5703125" customWidth="1" style="127" min="13058" max="13061"/>
    <col width="3.7109375" customWidth="1" style="127" min="13062" max="13064"/>
    <col width="4.42578125" customWidth="1" style="127" min="13065" max="13095"/>
    <col width="9" customWidth="1" style="127" min="13096" max="13096"/>
    <col width="3.7109375" customWidth="1" style="127" min="13311" max="13313"/>
    <col width="2.5703125" customWidth="1" style="127" min="13314" max="13317"/>
    <col width="3.7109375" customWidth="1" style="127" min="13318" max="13320"/>
    <col width="4.42578125" customWidth="1" style="127" min="13321" max="13351"/>
    <col width="9" customWidth="1" style="127" min="13352" max="13352"/>
    <col width="3.7109375" customWidth="1" style="127" min="13567" max="13569"/>
    <col width="2.5703125" customWidth="1" style="127" min="13570" max="13573"/>
    <col width="3.7109375" customWidth="1" style="127" min="13574" max="13576"/>
    <col width="4.42578125" customWidth="1" style="127" min="13577" max="13607"/>
    <col width="9" customWidth="1" style="127" min="13608" max="13608"/>
    <col width="3.7109375" customWidth="1" style="127" min="13823" max="13825"/>
    <col width="2.5703125" customWidth="1" style="127" min="13826" max="13829"/>
    <col width="3.7109375" customWidth="1" style="127" min="13830" max="13832"/>
    <col width="4.42578125" customWidth="1" style="127" min="13833" max="13863"/>
    <col width="9" customWidth="1" style="127" min="13864" max="13864"/>
    <col width="3.7109375" customWidth="1" style="127" min="14079" max="14081"/>
    <col width="2.5703125" customWidth="1" style="127" min="14082" max="14085"/>
    <col width="3.7109375" customWidth="1" style="127" min="14086" max="14088"/>
    <col width="4.42578125" customWidth="1" style="127" min="14089" max="14119"/>
    <col width="9" customWidth="1" style="127" min="14120" max="14120"/>
    <col width="3.7109375" customWidth="1" style="127" min="14335" max="14337"/>
    <col width="2.5703125" customWidth="1" style="127" min="14338" max="14341"/>
    <col width="3.7109375" customWidth="1" style="127" min="14342" max="14344"/>
    <col width="4.42578125" customWidth="1" style="127" min="14345" max="14375"/>
    <col width="9" customWidth="1" style="127" min="14376" max="14376"/>
    <col width="3.7109375" customWidth="1" style="127" min="14591" max="14593"/>
    <col width="2.5703125" customWidth="1" style="127" min="14594" max="14597"/>
    <col width="3.7109375" customWidth="1" style="127" min="14598" max="14600"/>
    <col width="4.42578125" customWidth="1" style="127" min="14601" max="14631"/>
    <col width="9" customWidth="1" style="127" min="14632" max="14632"/>
    <col width="3.7109375" customWidth="1" style="127" min="14847" max="14849"/>
    <col width="2.5703125" customWidth="1" style="127" min="14850" max="14853"/>
    <col width="3.7109375" customWidth="1" style="127" min="14854" max="14856"/>
    <col width="4.42578125" customWidth="1" style="127" min="14857" max="14887"/>
    <col width="9" customWidth="1" style="127" min="14888" max="14888"/>
    <col width="3.7109375" customWidth="1" style="127" min="15103" max="15105"/>
    <col width="2.5703125" customWidth="1" style="127" min="15106" max="15109"/>
    <col width="3.7109375" customWidth="1" style="127" min="15110" max="15112"/>
    <col width="4.42578125" customWidth="1" style="127" min="15113" max="15143"/>
    <col width="9" customWidth="1" style="127" min="15144" max="15144"/>
    <col width="3.7109375" customWidth="1" style="127" min="15359" max="15361"/>
    <col width="2.5703125" customWidth="1" style="127" min="15362" max="15365"/>
    <col width="3.7109375" customWidth="1" style="127" min="15366" max="15368"/>
    <col width="4.42578125" customWidth="1" style="127" min="15369" max="15399"/>
    <col width="9" customWidth="1" style="127" min="15400" max="15400"/>
    <col width="3.7109375" customWidth="1" style="127" min="15615" max="15617"/>
    <col width="2.5703125" customWidth="1" style="127" min="15618" max="15621"/>
    <col width="3.7109375" customWidth="1" style="127" min="15622" max="15624"/>
    <col width="4.42578125" customWidth="1" style="127" min="15625" max="15655"/>
    <col width="9" customWidth="1" style="127" min="15656" max="15656"/>
    <col width="3.7109375" customWidth="1" style="127" min="15871" max="15873"/>
    <col width="2.5703125" customWidth="1" style="127" min="15874" max="15877"/>
    <col width="3.7109375" customWidth="1" style="127" min="15878" max="15880"/>
    <col width="4.42578125" customWidth="1" style="127" min="15881" max="15911"/>
    <col width="9" customWidth="1" style="127" min="15912" max="15912"/>
    <col width="3.7109375" customWidth="1" style="127" min="16127" max="16129"/>
    <col width="2.5703125" customWidth="1" style="127" min="16130" max="16133"/>
    <col width="3.7109375" customWidth="1" style="127" min="16134" max="16136"/>
    <col width="4.42578125" customWidth="1" style="127" min="16137" max="16167"/>
    <col width="9" customWidth="1" style="127" min="16168" max="16168"/>
  </cols>
  <sheetData>
    <row r="1" ht="30.75" customHeight="1" s="127">
      <c r="A1" s="10" t="n"/>
      <c r="B1" s="100" t="inlineStr">
        <is>
          <t>LỊCH GIAO HÀNG DO SUNG
DO SUNG会社の納品スケジュール</t>
        </is>
      </c>
    </row>
    <row r="2" ht="55.5" customHeight="1" s="127">
      <c r="A2" s="10" t="n"/>
    </row>
    <row r="3" ht="30.75" customHeight="1" s="127">
      <c r="A3" s="7" t="n"/>
    </row>
    <row r="4" ht="30.75" customHeight="1" s="127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101" t="n"/>
      <c r="AL4" s="7" t="n"/>
      <c r="AM4" s="7" t="n"/>
    </row>
    <row r="5" ht="21" customHeight="1" s="127" thickBot="1">
      <c r="B5" s="85" t="n">
        <v>2026</v>
      </c>
      <c r="D5" s="85" t="inlineStr">
        <is>
          <t>年</t>
        </is>
      </c>
      <c r="E5" s="85" t="n">
        <v>3</v>
      </c>
      <c r="F5" s="29" t="inlineStr">
        <is>
          <t>月</t>
        </is>
      </c>
      <c r="G5" s="8" t="n"/>
      <c r="H5" s="3" t="n"/>
      <c r="I5" s="3" t="n"/>
      <c r="J5" s="5" t="n"/>
      <c r="K5" s="5" t="n"/>
      <c r="L5" s="5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7" t="n"/>
    </row>
    <row r="6" ht="20.25" customFormat="1" customHeight="1" s="11">
      <c r="A6" s="173" t="inlineStr">
        <is>
          <t>mta0003 khớp nối New Jointer PA006A</t>
        </is>
      </c>
      <c r="B6" s="106" t="inlineStr">
        <is>
          <t>輸送</t>
        </is>
      </c>
      <c r="C6" s="129" t="n"/>
      <c r="D6" s="107" t="inlineStr">
        <is>
          <t>日</t>
        </is>
      </c>
      <c r="E6" s="130" t="n"/>
      <c r="F6" s="131" t="n"/>
      <c r="G6" s="132">
        <f>DATE(B5,E5,1)</f>
        <v/>
      </c>
      <c r="H6" s="132">
        <f>IF(G6="","",IF(DAY(G6+1)=1,"",G6+1))</f>
        <v/>
      </c>
      <c r="I6" s="132">
        <f>IF(H6="","",IF(DAY(H6+1)=1,"",H6+1))</f>
        <v/>
      </c>
      <c r="J6" s="132">
        <f>IF(I6="","",IF(DAY(I6+1)=1,"",I6+1))</f>
        <v/>
      </c>
      <c r="K6" s="132">
        <f>IF(J6="","",IF(DAY(J6+1)=1,"",J6+1))</f>
        <v/>
      </c>
      <c r="L6" s="132">
        <f>IF(K6="","",IF(DAY(K6+1)=1,"",K6+1))</f>
        <v/>
      </c>
      <c r="M6" s="132">
        <f>IF(L6="","",IF(DAY(L6+1)=1,"",L6+1))</f>
        <v/>
      </c>
      <c r="N6" s="132">
        <f>IF(M6="","",IF(DAY(M6+1)=1,"",M6+1))</f>
        <v/>
      </c>
      <c r="O6" s="132">
        <f>IF(N6="","",IF(DAY(N6+1)=1,"",N6+1))</f>
        <v/>
      </c>
      <c r="P6" s="132">
        <f>IF(O6="","",IF(DAY(O6+1)=1,"",O6+1))</f>
        <v/>
      </c>
      <c r="Q6" s="132">
        <f>IF(P6="","",IF(DAY(P6+1)=1,"",P6+1))</f>
        <v/>
      </c>
      <c r="R6" s="132">
        <f>IF(Q6="","",IF(DAY(Q6+1)=1,"",Q6+1))</f>
        <v/>
      </c>
      <c r="S6" s="132">
        <f>IF(R6="","",IF(DAY(R6+1)=1,"",R6+1))</f>
        <v/>
      </c>
      <c r="T6" s="132">
        <f>IF(S6="","",IF(DAY(S6+1)=1,"",S6+1))</f>
        <v/>
      </c>
      <c r="U6" s="132">
        <f>IF(T6="","",IF(DAY(T6+1)=1,"",T6+1))</f>
        <v/>
      </c>
      <c r="V6" s="132">
        <f>IF(U6="","",IF(DAY(U6+1)=1,"",U6+1))</f>
        <v/>
      </c>
      <c r="W6" s="132">
        <f>IF(V6="","",IF(DAY(V6+1)=1,"",V6+1))</f>
        <v/>
      </c>
      <c r="X6" s="132">
        <f>IF(W6="","",IF(DAY(W6+1)=1,"",W6+1))</f>
        <v/>
      </c>
      <c r="Y6" s="132">
        <f>IF(X6="","",IF(DAY(X6+1)=1,"",X6+1))</f>
        <v/>
      </c>
      <c r="Z6" s="132">
        <f>IF(Y6="","",IF(DAY(Y6+1)=1,"",Y6+1))</f>
        <v/>
      </c>
      <c r="AA6" s="132">
        <f>IF(Z6="","",IF(DAY(Z6+1)=1,"",Z6+1))</f>
        <v/>
      </c>
      <c r="AB6" s="132">
        <f>IF(AA6="","",IF(DAY(AA6+1)=1,"",AA6+1))</f>
        <v/>
      </c>
      <c r="AC6" s="132">
        <f>IF(AB6="","",IF(DAY(AB6+1)=1,"",AB6+1))</f>
        <v/>
      </c>
      <c r="AD6" s="132">
        <f>IF(AC6="","",IF(DAY(AC6+1)=1,"",AC6+1))</f>
        <v/>
      </c>
      <c r="AE6" s="132">
        <f>IF(AD6="","",IF(DAY(AD6+1)=1,"",AD6+1))</f>
        <v/>
      </c>
      <c r="AF6" s="132">
        <f>IF(AE6="","",IF(DAY(AE6+1)=1,"",AE6+1))</f>
        <v/>
      </c>
      <c r="AG6" s="132">
        <f>IF(AF6="","",IF(DAY(AF6+1)=1,"",AF6+1))</f>
        <v/>
      </c>
      <c r="AH6" s="132">
        <f>IF(AG6="","",IF(DAY(AG6+1)=1,"",AG6+1))</f>
        <v/>
      </c>
      <c r="AI6" s="132">
        <f>IF(AH6="","",IF(DAY(AH6+1)=1,"",AH6+1))</f>
        <v/>
      </c>
      <c r="AJ6" s="132">
        <f>IF(AI6="","",IF(DAY(AI6+1)=1,"",AI6+1))</f>
        <v/>
      </c>
      <c r="AK6" s="132">
        <f>IF(AJ6="","",IF(DAY(AJ6+1)=1,"",AJ6+1))</f>
        <v/>
      </c>
      <c r="AL6" s="133" t="inlineStr">
        <is>
          <t>Total</t>
        </is>
      </c>
      <c r="AM6" s="7" t="n"/>
      <c r="AN6" s="21" t="n"/>
      <c r="AO6" s="20" t="n"/>
    </row>
    <row r="7" ht="20.25" customFormat="1" customHeight="1" s="11">
      <c r="A7" s="134" t="n"/>
      <c r="B7" s="135" t="n"/>
      <c r="C7" s="136" t="n"/>
      <c r="D7" s="102" t="inlineStr">
        <is>
          <t>時間</t>
        </is>
      </c>
      <c r="E7" s="137" t="n"/>
      <c r="F7" s="138" t="n"/>
      <c r="G7" s="139">
        <f>+G6</f>
        <v/>
      </c>
      <c r="H7" s="139">
        <f>+H6</f>
        <v/>
      </c>
      <c r="I7" s="139">
        <f>+I6</f>
        <v/>
      </c>
      <c r="J7" s="139">
        <f>+J6</f>
        <v/>
      </c>
      <c r="K7" s="139">
        <f>+K6</f>
        <v/>
      </c>
      <c r="L7" s="139">
        <f>+L6</f>
        <v/>
      </c>
      <c r="M7" s="139">
        <f>+M6</f>
        <v/>
      </c>
      <c r="N7" s="139">
        <f>+N6</f>
        <v/>
      </c>
      <c r="O7" s="139">
        <f>+O6</f>
        <v/>
      </c>
      <c r="P7" s="139">
        <f>+P6</f>
        <v/>
      </c>
      <c r="Q7" s="139">
        <f>+Q6</f>
        <v/>
      </c>
      <c r="R7" s="139">
        <f>+R6</f>
        <v/>
      </c>
      <c r="S7" s="139">
        <f>+S6</f>
        <v/>
      </c>
      <c r="T7" s="139">
        <f>+T6</f>
        <v/>
      </c>
      <c r="U7" s="139">
        <f>+U6</f>
        <v/>
      </c>
      <c r="V7" s="139">
        <f>+V6</f>
        <v/>
      </c>
      <c r="W7" s="139">
        <f>+W6</f>
        <v/>
      </c>
      <c r="X7" s="139">
        <f>+X6</f>
        <v/>
      </c>
      <c r="Y7" s="139">
        <f>+Y6</f>
        <v/>
      </c>
      <c r="Z7" s="139">
        <f>+Z6</f>
        <v/>
      </c>
      <c r="AA7" s="139">
        <f>+AA6</f>
        <v/>
      </c>
      <c r="AB7" s="139">
        <f>+AB6</f>
        <v/>
      </c>
      <c r="AC7" s="139">
        <f>+AC6</f>
        <v/>
      </c>
      <c r="AD7" s="139">
        <f>+AD6</f>
        <v/>
      </c>
      <c r="AE7" s="139">
        <f>+AE6</f>
        <v/>
      </c>
      <c r="AF7" s="139">
        <f>+AF6</f>
        <v/>
      </c>
      <c r="AG7" s="139">
        <f>+AG6</f>
        <v/>
      </c>
      <c r="AH7" s="139">
        <f>+AH6</f>
        <v/>
      </c>
      <c r="AI7" s="139">
        <f>+AI6</f>
        <v/>
      </c>
      <c r="AJ7" s="139">
        <f>+AJ6</f>
        <v/>
      </c>
      <c r="AK7" s="139">
        <f>+AK6</f>
        <v/>
      </c>
      <c r="AL7" s="140" t="n"/>
      <c r="AN7" s="21" t="n"/>
      <c r="AO7" s="20" t="n"/>
    </row>
    <row r="8" ht="56.25" customFormat="1" customHeight="1" s="11">
      <c r="A8" s="134" t="n"/>
      <c r="B8" s="174" t="inlineStr">
        <is>
          <t>PO 注文書</t>
        </is>
      </c>
      <c r="C8" s="142" t="n"/>
      <c r="D8" s="142" t="n"/>
      <c r="E8" s="142" t="n"/>
      <c r="F8" s="143" t="n"/>
      <c r="G8" s="144" t="n"/>
      <c r="H8" s="145" t="n"/>
      <c r="I8" s="144" t="n"/>
      <c r="J8" s="145" t="n"/>
      <c r="K8" s="145" t="n"/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/>
      <c r="U8" s="145" t="n"/>
      <c r="V8" s="145" t="n">
        <v>2000</v>
      </c>
      <c r="W8" s="145" t="n"/>
      <c r="X8" s="145" t="n"/>
      <c r="Y8" s="145" t="n"/>
      <c r="Z8" s="145" t="n"/>
      <c r="AA8" s="145" t="n"/>
      <c r="AB8" s="145" t="n"/>
      <c r="AC8" s="145" t="n"/>
      <c r="AD8" s="145" t="n"/>
      <c r="AE8" s="145" t="n"/>
      <c r="AF8" s="145" t="n"/>
      <c r="AG8" s="145" t="n"/>
      <c r="AH8" s="145" t="n"/>
      <c r="AI8" s="145" t="n"/>
      <c r="AJ8" s="145" t="n"/>
      <c r="AK8" s="145" t="n"/>
      <c r="AL8" s="146">
        <f>SUM(G8:AK8)</f>
        <v/>
      </c>
      <c r="AN8" s="147" t="inlineStr">
        <is>
          <t>Tồn PO
注文の 残量</t>
        </is>
      </c>
      <c r="AO8" s="148">
        <f>AL8-AO9</f>
        <v/>
      </c>
    </row>
    <row r="9" ht="56.25" customHeight="1" s="127">
      <c r="A9" s="134" t="n"/>
      <c r="B9" s="111" t="inlineStr">
        <is>
          <t xml:space="preserve">計画数量
kế hoạch </t>
        </is>
      </c>
      <c r="C9" s="149" t="n"/>
      <c r="D9" s="149" t="n"/>
      <c r="E9" s="149" t="n"/>
      <c r="F9" s="150" t="n"/>
      <c r="G9" s="144" t="n"/>
      <c r="H9" s="144" t="n"/>
      <c r="I9" s="144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  <c r="AA9" s="145" t="n"/>
      <c r="AB9" s="145" t="n"/>
      <c r="AC9" s="145" t="n"/>
      <c r="AD9" s="145" t="n"/>
      <c r="AE9" s="145" t="n"/>
      <c r="AF9" s="145" t="n"/>
      <c r="AG9" s="145" t="n"/>
      <c r="AH9" s="145" t="n"/>
      <c r="AI9" s="145" t="n"/>
      <c r="AJ9" s="145" t="n"/>
      <c r="AK9" s="145" t="n"/>
      <c r="AL9" s="151">
        <f>SUM(G9:AK9)</f>
        <v/>
      </c>
      <c r="AM9" s="0" t="n"/>
      <c r="AN9" s="24" t="inlineStr">
        <is>
          <t>Tổng nhập 総入荷数量
（A)-(B)+(C)</t>
        </is>
      </c>
      <c r="AO9" s="152">
        <f>AL10-AL11+AL12</f>
        <v/>
      </c>
    </row>
    <row r="10" ht="56.25" customHeight="1" s="127">
      <c r="A10" s="134" t="n"/>
      <c r="B10" s="111" t="inlineStr">
        <is>
          <t>実際の納品数量
số lượng thực nhập</t>
        </is>
      </c>
      <c r="C10" s="149" t="n"/>
      <c r="D10" s="149" t="n"/>
      <c r="E10" s="149" t="n"/>
      <c r="F10" s="150" t="n"/>
      <c r="G10" s="153" t="n"/>
      <c r="H10" s="153" t="n"/>
      <c r="I10" s="154" t="n"/>
      <c r="J10" s="145" t="n"/>
      <c r="K10" s="156" t="n"/>
      <c r="L10" s="156" t="n"/>
      <c r="M10" s="155" t="n"/>
      <c r="N10" s="155" t="n"/>
      <c r="O10" s="155" t="n"/>
      <c r="P10" s="155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5" t="n"/>
      <c r="AD10" s="155" t="n"/>
      <c r="AE10" s="156" t="n"/>
      <c r="AF10" s="156" t="n"/>
      <c r="AG10" s="155" t="n"/>
      <c r="AH10" s="155" t="n"/>
      <c r="AI10" s="156" t="n"/>
      <c r="AJ10" s="156" t="n"/>
      <c r="AK10" s="156" t="n"/>
      <c r="AL10" s="157">
        <f>SUM(G10:AK10)</f>
        <v/>
      </c>
      <c r="AM10" s="6" t="inlineStr">
        <is>
          <t>(A)</t>
        </is>
      </c>
      <c r="AN10" s="24" t="inlineStr">
        <is>
          <t>Số lượng chưa khai tháng trước 先月まだ税関に申告されていない数量</t>
        </is>
      </c>
      <c r="AO10" s="148" t="n"/>
    </row>
    <row r="11" ht="56.25" customHeight="1" s="127">
      <c r="A11" s="134" t="n"/>
      <c r="B11" s="111" t="inlineStr">
        <is>
          <t>NG数量（DO SUNG 社変更済）
số lượng NG (Trả hàng DO SUNG)</t>
        </is>
      </c>
      <c r="C11" s="149" t="n"/>
      <c r="D11" s="149" t="n"/>
      <c r="E11" s="149" t="n"/>
      <c r="F11" s="150" t="n"/>
      <c r="G11" s="144" t="n"/>
      <c r="H11" s="144" t="n"/>
      <c r="I11" s="144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  <c r="AC11" s="145" t="n"/>
      <c r="AD11" s="145" t="n"/>
      <c r="AE11" s="145" t="n"/>
      <c r="AF11" s="145" t="n"/>
      <c r="AG11" s="145" t="n"/>
      <c r="AH11" s="145" t="n"/>
      <c r="AI11" s="145" t="n"/>
      <c r="AJ11" s="145" t="n"/>
      <c r="AK11" s="145" t="n"/>
      <c r="AL11" s="158">
        <f>SUM(G11:AK11)</f>
        <v/>
      </c>
      <c r="AM11" s="6" t="inlineStr">
        <is>
          <t>(B)</t>
        </is>
      </c>
      <c r="AN11" s="24" t="inlineStr">
        <is>
          <t>Số lượng đã khai tháng này 今月税関に申告された数量</t>
        </is>
      </c>
      <c r="AO11" s="26" t="n">
        <v>700</v>
      </c>
    </row>
    <row r="12" ht="56.25" customHeight="1" s="127" thickBot="1">
      <c r="A12" s="159" t="n"/>
      <c r="B12" s="109" t="inlineStr">
        <is>
          <t>NG数量（ドンスン　社しゅり済）
số lượng NG (DO SUNG đã sửa )</t>
        </is>
      </c>
      <c r="C12" s="160" t="n"/>
      <c r="D12" s="160" t="n"/>
      <c r="E12" s="160" t="n"/>
      <c r="F12" s="161" t="n"/>
      <c r="G12" s="162" t="n"/>
      <c r="H12" s="162" t="n"/>
      <c r="I12" s="163" t="n"/>
      <c r="J12" s="164" t="n"/>
      <c r="K12" s="165" t="n"/>
      <c r="L12" s="164" t="n"/>
      <c r="M12" s="164" t="n"/>
      <c r="N12" s="164" t="n"/>
      <c r="O12" s="164" t="n"/>
      <c r="P12" s="164" t="n"/>
      <c r="Q12" s="164" t="n"/>
      <c r="R12" s="165" t="n"/>
      <c r="S12" s="164" t="n"/>
      <c r="T12" s="164" t="n"/>
      <c r="U12" s="164" t="n"/>
      <c r="V12" s="164" t="n"/>
      <c r="W12" s="164" t="n"/>
      <c r="X12" s="164" t="n"/>
      <c r="Y12" s="165" t="n"/>
      <c r="Z12" s="164" t="n"/>
      <c r="AA12" s="164" t="n"/>
      <c r="AB12" s="164" t="n"/>
      <c r="AC12" s="164" t="n"/>
      <c r="AD12" s="164" t="n"/>
      <c r="AE12" s="165" t="n"/>
      <c r="AF12" s="165" t="n"/>
      <c r="AG12" s="164" t="n"/>
      <c r="AH12" s="164" t="n"/>
      <c r="AI12" s="164" t="n"/>
      <c r="AJ12" s="165" t="n"/>
      <c r="AK12" s="165" t="n"/>
      <c r="AL12" s="166">
        <f>SUM(G12:AK12)</f>
        <v/>
      </c>
      <c r="AM12" s="6" t="inlineStr">
        <is>
          <t>(C)</t>
        </is>
      </c>
      <c r="AN12" s="24" t="inlineStr">
        <is>
          <t>Số lượng còn lại chưa khai 残りの数量はまだ税関に申告されていません</t>
        </is>
      </c>
      <c r="AO12" s="148">
        <f>AO10+AO9-AO11</f>
        <v/>
      </c>
    </row>
    <row r="14" ht="21" customHeight="1" s="127" thickBot="1">
      <c r="B14" s="85" t="n">
        <v>2026</v>
      </c>
      <c r="D14" s="85" t="inlineStr">
        <is>
          <t>年</t>
        </is>
      </c>
      <c r="E14" s="85" t="n">
        <v>4</v>
      </c>
      <c r="F14" s="29" t="inlineStr">
        <is>
          <t>月</t>
        </is>
      </c>
      <c r="G14" s="8" t="n"/>
      <c r="H14" s="3" t="n"/>
      <c r="I14" s="3" t="n"/>
      <c r="J14" s="5" t="n"/>
      <c r="K14" s="5" t="n"/>
      <c r="L14" s="5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7" t="n"/>
    </row>
    <row r="15" ht="20.25" customFormat="1" customHeight="1" s="11">
      <c r="A15" s="173" t="inlineStr">
        <is>
          <t>mta0003 khớp nối New Jointer PA006A</t>
        </is>
      </c>
      <c r="B15" s="106" t="inlineStr">
        <is>
          <t>輸送</t>
        </is>
      </c>
      <c r="C15" s="129" t="n"/>
      <c r="D15" s="107" t="inlineStr">
        <is>
          <t>日</t>
        </is>
      </c>
      <c r="E15" s="130" t="n"/>
      <c r="F15" s="131" t="n"/>
      <c r="G15" s="132">
        <f>DATE(B14,E14,1)</f>
        <v/>
      </c>
      <c r="H15" s="132">
        <f>IF(G15="","",IF(DAY(G15+1)=1,"",G15+1))</f>
        <v/>
      </c>
      <c r="I15" s="132">
        <f>IF(H15="","",IF(DAY(H15+1)=1,"",H15+1))</f>
        <v/>
      </c>
      <c r="J15" s="132">
        <f>IF(I15="","",IF(DAY(I15+1)=1,"",I15+1))</f>
        <v/>
      </c>
      <c r="K15" s="132">
        <f>IF(J15="","",IF(DAY(J15+1)=1,"",J15+1))</f>
        <v/>
      </c>
      <c r="L15" s="132">
        <f>IF(K15="","",IF(DAY(K15+1)=1,"",K15+1))</f>
        <v/>
      </c>
      <c r="M15" s="132">
        <f>IF(L15="","",IF(DAY(L15+1)=1,"",L15+1))</f>
        <v/>
      </c>
      <c r="N15" s="132">
        <f>IF(M15="","",IF(DAY(M15+1)=1,"",M15+1))</f>
        <v/>
      </c>
      <c r="O15" s="132">
        <f>IF(N15="","",IF(DAY(N15+1)=1,"",N15+1))</f>
        <v/>
      </c>
      <c r="P15" s="132">
        <f>IF(O15="","",IF(DAY(O15+1)=1,"",O15+1))</f>
        <v/>
      </c>
      <c r="Q15" s="132">
        <f>IF(P15="","",IF(DAY(P15+1)=1,"",P15+1))</f>
        <v/>
      </c>
      <c r="R15" s="132">
        <f>IF(Q15="","",IF(DAY(Q15+1)=1,"",Q15+1))</f>
        <v/>
      </c>
      <c r="S15" s="132">
        <f>IF(R15="","",IF(DAY(R15+1)=1,"",R15+1))</f>
        <v/>
      </c>
      <c r="T15" s="132">
        <f>IF(S15="","",IF(DAY(S15+1)=1,"",S15+1))</f>
        <v/>
      </c>
      <c r="U15" s="132">
        <f>IF(T15="","",IF(DAY(T15+1)=1,"",T15+1))</f>
        <v/>
      </c>
      <c r="V15" s="132">
        <f>IF(U15="","",IF(DAY(U15+1)=1,"",U15+1))</f>
        <v/>
      </c>
      <c r="W15" s="132">
        <f>IF(V15="","",IF(DAY(V15+1)=1,"",V15+1))</f>
        <v/>
      </c>
      <c r="X15" s="132">
        <f>IF(W15="","",IF(DAY(W15+1)=1,"",W15+1))</f>
        <v/>
      </c>
      <c r="Y15" s="132">
        <f>IF(X15="","",IF(DAY(X15+1)=1,"",X15+1))</f>
        <v/>
      </c>
      <c r="Z15" s="132">
        <f>IF(Y15="","",IF(DAY(Y15+1)=1,"",Y15+1))</f>
        <v/>
      </c>
      <c r="AA15" s="132">
        <f>IF(Z15="","",IF(DAY(Z15+1)=1,"",Z15+1))</f>
        <v/>
      </c>
      <c r="AB15" s="132">
        <f>IF(AA15="","",IF(DAY(AA15+1)=1,"",AA15+1))</f>
        <v/>
      </c>
      <c r="AC15" s="132">
        <f>IF(AB15="","",IF(DAY(AB15+1)=1,"",AB15+1))</f>
        <v/>
      </c>
      <c r="AD15" s="132">
        <f>IF(AC15="","",IF(DAY(AC15+1)=1,"",AC15+1))</f>
        <v/>
      </c>
      <c r="AE15" s="132">
        <f>IF(AD15="","",IF(DAY(AD15+1)=1,"",AD15+1))</f>
        <v/>
      </c>
      <c r="AF15" s="132">
        <f>IF(AE15="","",IF(DAY(AE15+1)=1,"",AE15+1))</f>
        <v/>
      </c>
      <c r="AG15" s="132">
        <f>IF(AF15="","",IF(DAY(AF15+1)=1,"",AF15+1))</f>
        <v/>
      </c>
      <c r="AH15" s="132">
        <f>IF(AG15="","",IF(DAY(AG15+1)=1,"",AG15+1))</f>
        <v/>
      </c>
      <c r="AI15" s="132">
        <f>IF(AH15="","",IF(DAY(AH15+1)=1,"",AH15+1))</f>
        <v/>
      </c>
      <c r="AJ15" s="132">
        <f>IF(AI15="","",IF(DAY(AI15+1)=1,"",AI15+1))</f>
        <v/>
      </c>
      <c r="AK15" s="132">
        <f>IF(AJ15="","",IF(DAY(AJ15+1)=1,"",AJ15+1))</f>
        <v/>
      </c>
      <c r="AL15" s="133" t="inlineStr">
        <is>
          <t>Total</t>
        </is>
      </c>
      <c r="AM15" s="7" t="n"/>
      <c r="AN15" s="21" t="n"/>
      <c r="AO15" s="20" t="n"/>
    </row>
    <row r="16" ht="20.25" customFormat="1" customHeight="1" s="11">
      <c r="A16" s="134" t="n"/>
      <c r="B16" s="135" t="n"/>
      <c r="C16" s="136" t="n"/>
      <c r="D16" s="102" t="inlineStr">
        <is>
          <t>時間</t>
        </is>
      </c>
      <c r="E16" s="137" t="n"/>
      <c r="F16" s="138" t="n"/>
      <c r="G16" s="139">
        <f>+G15</f>
        <v/>
      </c>
      <c r="H16" s="139">
        <f>+H15</f>
        <v/>
      </c>
      <c r="I16" s="139">
        <f>+I15</f>
        <v/>
      </c>
      <c r="J16" s="139">
        <f>+J15</f>
        <v/>
      </c>
      <c r="K16" s="139">
        <f>+K15</f>
        <v/>
      </c>
      <c r="L16" s="139">
        <f>+L15</f>
        <v/>
      </c>
      <c r="M16" s="139">
        <f>+M15</f>
        <v/>
      </c>
      <c r="N16" s="139">
        <f>+N15</f>
        <v/>
      </c>
      <c r="O16" s="139">
        <f>+O15</f>
        <v/>
      </c>
      <c r="P16" s="139">
        <f>+P15</f>
        <v/>
      </c>
      <c r="Q16" s="139">
        <f>+Q15</f>
        <v/>
      </c>
      <c r="R16" s="139">
        <f>+R15</f>
        <v/>
      </c>
      <c r="S16" s="139">
        <f>+S15</f>
        <v/>
      </c>
      <c r="T16" s="139">
        <f>+T15</f>
        <v/>
      </c>
      <c r="U16" s="139">
        <f>+U15</f>
        <v/>
      </c>
      <c r="V16" s="139">
        <f>+V15</f>
        <v/>
      </c>
      <c r="W16" s="139">
        <f>+W15</f>
        <v/>
      </c>
      <c r="X16" s="139">
        <f>+X15</f>
        <v/>
      </c>
      <c r="Y16" s="139">
        <f>+Y15</f>
        <v/>
      </c>
      <c r="Z16" s="139">
        <f>+Z15</f>
        <v/>
      </c>
      <c r="AA16" s="139">
        <f>+AA15</f>
        <v/>
      </c>
      <c r="AB16" s="139">
        <f>+AB15</f>
        <v/>
      </c>
      <c r="AC16" s="139">
        <f>+AC15</f>
        <v/>
      </c>
      <c r="AD16" s="139">
        <f>+AD15</f>
        <v/>
      </c>
      <c r="AE16" s="139">
        <f>+AE15</f>
        <v/>
      </c>
      <c r="AF16" s="139">
        <f>+AF15</f>
        <v/>
      </c>
      <c r="AG16" s="139">
        <f>+AG15</f>
        <v/>
      </c>
      <c r="AH16" s="139">
        <f>+AH15</f>
        <v/>
      </c>
      <c r="AI16" s="139">
        <f>+AI15</f>
        <v/>
      </c>
      <c r="AJ16" s="139">
        <f>+AJ15</f>
        <v/>
      </c>
      <c r="AK16" s="139">
        <f>+AK15</f>
        <v/>
      </c>
      <c r="AL16" s="140" t="n"/>
      <c r="AN16" s="21" t="n"/>
      <c r="AO16" s="20" t="n"/>
    </row>
    <row r="17" ht="56.25" customFormat="1" customHeight="1" s="11">
      <c r="A17" s="134" t="n"/>
      <c r="B17" s="174" t="inlineStr">
        <is>
          <t>PO 注文書</t>
        </is>
      </c>
      <c r="C17" s="142" t="n"/>
      <c r="D17" s="142" t="n"/>
      <c r="E17" s="142" t="n"/>
      <c r="F17" s="143" t="n"/>
      <c r="G17" s="144" t="n"/>
      <c r="H17" s="145" t="n"/>
      <c r="I17" s="144" t="n"/>
      <c r="J17" s="145" t="n"/>
      <c r="K17" s="145" t="n"/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  <c r="AA17" s="145" t="n"/>
      <c r="AB17" s="145" t="n"/>
      <c r="AC17" s="145" t="n"/>
      <c r="AD17" s="145" t="n"/>
      <c r="AE17" s="145" t="n"/>
      <c r="AF17" s="145" t="n"/>
      <c r="AG17" s="145" t="n"/>
      <c r="AH17" s="145" t="n"/>
      <c r="AI17" s="145" t="n"/>
      <c r="AJ17" s="145" t="n"/>
      <c r="AK17" s="145" t="n"/>
      <c r="AL17" s="146">
        <f>SUM(G17:AK17)</f>
        <v/>
      </c>
      <c r="AN17" s="147" t="inlineStr">
        <is>
          <t>Tồn PO
注文の 残量</t>
        </is>
      </c>
      <c r="AO17" s="148">
        <f>AO8+AL17-AO18</f>
        <v/>
      </c>
    </row>
    <row r="18" ht="56.25" customHeight="1" s="127">
      <c r="A18" s="134" t="n"/>
      <c r="B18" s="111" t="inlineStr">
        <is>
          <t xml:space="preserve">計画数量
kế hoạch </t>
        </is>
      </c>
      <c r="C18" s="149" t="n"/>
      <c r="D18" s="149" t="n"/>
      <c r="E18" s="149" t="n"/>
      <c r="F18" s="150" t="n"/>
      <c r="G18" s="144" t="n"/>
      <c r="H18" s="144" t="n"/>
      <c r="I18" s="144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  <c r="AA18" s="145" t="n"/>
      <c r="AB18" s="145" t="n"/>
      <c r="AC18" s="145" t="n"/>
      <c r="AD18" s="145" t="n"/>
      <c r="AE18" s="145" t="n"/>
      <c r="AF18" s="145" t="n"/>
      <c r="AG18" s="145" t="n"/>
      <c r="AH18" s="145" t="n"/>
      <c r="AI18" s="145" t="n"/>
      <c r="AJ18" s="145" t="n"/>
      <c r="AK18" s="145" t="n"/>
      <c r="AL18" s="151">
        <f>SUM(G18:AK18)</f>
        <v/>
      </c>
      <c r="AM18" s="0" t="n"/>
      <c r="AN18" s="24" t="inlineStr">
        <is>
          <t>Tổng nhập 総入荷数量
（A)-(B)+(C)</t>
        </is>
      </c>
      <c r="AO18" s="152">
        <f>AL19-AL20+AL21</f>
        <v/>
      </c>
    </row>
    <row r="19" ht="56.25" customHeight="1" s="127">
      <c r="A19" s="134" t="n"/>
      <c r="B19" s="111" t="inlineStr">
        <is>
          <t>実際の納品数量
số lượng thực nhập</t>
        </is>
      </c>
      <c r="C19" s="149" t="n"/>
      <c r="D19" s="149" t="n"/>
      <c r="E19" s="149" t="n"/>
      <c r="F19" s="150" t="n"/>
      <c r="G19" s="153" t="n"/>
      <c r="H19" s="153" t="n"/>
      <c r="I19" s="154" t="n"/>
      <c r="J19" s="145" t="n"/>
      <c r="K19" s="156" t="n"/>
      <c r="L19" s="156" t="n">
        <v>700</v>
      </c>
      <c r="M19" s="155" t="n"/>
      <c r="N19" s="155" t="n">
        <v>540</v>
      </c>
      <c r="O19" s="155" t="n">
        <v>340</v>
      </c>
      <c r="P19" s="155" t="n">
        <v>97</v>
      </c>
      <c r="Q19" s="156" t="n"/>
      <c r="R19" s="156" t="n"/>
      <c r="S19" s="156" t="n"/>
      <c r="T19" s="156" t="n"/>
      <c r="U19" s="156" t="n"/>
      <c r="V19" s="156" t="n"/>
      <c r="W19" s="156" t="n"/>
      <c r="X19" s="156" t="n"/>
      <c r="Y19" s="156" t="n"/>
      <c r="Z19" s="156" t="n"/>
      <c r="AA19" s="156" t="n"/>
      <c r="AB19" s="156" t="n"/>
      <c r="AC19" s="155" t="n"/>
      <c r="AD19" s="155" t="n"/>
      <c r="AE19" s="156" t="n"/>
      <c r="AF19" s="156" t="n"/>
      <c r="AG19" s="155" t="n">
        <v>280</v>
      </c>
      <c r="AH19" s="155" t="n">
        <v>43</v>
      </c>
      <c r="AI19" s="156" t="n"/>
      <c r="AJ19" s="156" t="n"/>
      <c r="AK19" s="156" t="n"/>
      <c r="AL19" s="157">
        <f>SUM(G19:AK19)</f>
        <v/>
      </c>
      <c r="AM19" s="6" t="inlineStr">
        <is>
          <t>(A)</t>
        </is>
      </c>
      <c r="AN19" s="24" t="inlineStr">
        <is>
          <t>Số lượng chưa khai tháng trước 先月まだ税関に申告されていない数量</t>
        </is>
      </c>
      <c r="AO19" s="148">
        <f>AO12</f>
        <v/>
      </c>
    </row>
    <row r="20" ht="56.25" customHeight="1" s="127">
      <c r="A20" s="134" t="n"/>
      <c r="B20" s="111" t="inlineStr">
        <is>
          <t>NG数量（DO SUNG 社変更済）
số lượng NG (Trả hàng DO SUNG)</t>
        </is>
      </c>
      <c r="C20" s="149" t="n"/>
      <c r="D20" s="149" t="n"/>
      <c r="E20" s="149" t="n"/>
      <c r="F20" s="150" t="n"/>
      <c r="G20" s="144" t="n"/>
      <c r="H20" s="144" t="n"/>
      <c r="I20" s="144" t="n"/>
      <c r="J20" s="145" t="n"/>
      <c r="K20" s="145" t="n"/>
      <c r="L20" s="145" t="n"/>
      <c r="M20" s="145" t="n"/>
      <c r="N20" s="145" t="n"/>
      <c r="O20" s="145" t="n"/>
      <c r="P20" s="145" t="n"/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5" t="n"/>
      <c r="AF20" s="145" t="n"/>
      <c r="AG20" s="145" t="n"/>
      <c r="AH20" s="145" t="n"/>
      <c r="AI20" s="145" t="n"/>
      <c r="AJ20" s="145" t="n"/>
      <c r="AK20" s="145" t="n"/>
      <c r="AL20" s="158">
        <f>SUM(G20:AK20)</f>
        <v/>
      </c>
      <c r="AM20" s="6" t="inlineStr">
        <is>
          <t>(B)</t>
        </is>
      </c>
      <c r="AN20" s="24" t="inlineStr">
        <is>
          <t>Số lượng đã khai tháng này 今月税関に申告された数量</t>
        </is>
      </c>
      <c r="AO20" s="26" t="n">
        <v>1300</v>
      </c>
    </row>
    <row r="21" ht="56.25" customHeight="1" s="127" thickBot="1">
      <c r="A21" s="159" t="n"/>
      <c r="B21" s="109" t="inlineStr">
        <is>
          <t>NG数量（ドンスン　社しゅり済）
số lượng NG (DO SUNG đã sửa )</t>
        </is>
      </c>
      <c r="C21" s="160" t="n"/>
      <c r="D21" s="160" t="n"/>
      <c r="E21" s="160" t="n"/>
      <c r="F21" s="161" t="n"/>
      <c r="G21" s="162" t="n"/>
      <c r="H21" s="162" t="n"/>
      <c r="I21" s="163" t="n"/>
      <c r="J21" s="164" t="n"/>
      <c r="K21" s="165" t="n"/>
      <c r="L21" s="164" t="n"/>
      <c r="M21" s="164" t="n"/>
      <c r="N21" s="164" t="n"/>
      <c r="O21" s="164" t="n"/>
      <c r="P21" s="164" t="n"/>
      <c r="Q21" s="164" t="n"/>
      <c r="R21" s="165" t="n"/>
      <c r="S21" s="164" t="n"/>
      <c r="T21" s="164" t="n"/>
      <c r="U21" s="164" t="n"/>
      <c r="V21" s="164" t="n"/>
      <c r="W21" s="164" t="n"/>
      <c r="X21" s="164" t="n"/>
      <c r="Y21" s="165" t="n"/>
      <c r="Z21" s="164" t="n"/>
      <c r="AA21" s="164" t="n"/>
      <c r="AB21" s="164" t="n"/>
      <c r="AC21" s="164" t="n"/>
      <c r="AD21" s="164" t="n"/>
      <c r="AE21" s="165" t="n"/>
      <c r="AF21" s="165" t="n"/>
      <c r="AG21" s="164" t="n"/>
      <c r="AH21" s="164" t="n"/>
      <c r="AI21" s="164" t="n"/>
      <c r="AJ21" s="165" t="n"/>
      <c r="AK21" s="165" t="n"/>
      <c r="AL21" s="166">
        <f>SUM(G21:AK21)</f>
        <v/>
      </c>
      <c r="AM21" s="6" t="inlineStr">
        <is>
          <t>(C)</t>
        </is>
      </c>
      <c r="AN21" s="24" t="inlineStr">
        <is>
          <t>Số lượng còn lại chưa khai 残りの数量はまだ税関に申告されていません</t>
        </is>
      </c>
      <c r="AO21" s="148">
        <f>AO19+AO18-AO20</f>
        <v/>
      </c>
    </row>
    <row r="23" ht="21" customHeight="1" s="127" thickBot="1">
      <c r="B23" s="85" t="n">
        <v>2026</v>
      </c>
      <c r="D23" s="85" t="inlineStr">
        <is>
          <t>年</t>
        </is>
      </c>
      <c r="E23" s="85" t="n">
        <v>5</v>
      </c>
      <c r="F23" s="29" t="inlineStr">
        <is>
          <t>月</t>
        </is>
      </c>
      <c r="G23" s="8" t="n"/>
      <c r="H23" s="3" t="n"/>
      <c r="I23" s="3" t="n"/>
      <c r="J23" s="5" t="n"/>
      <c r="K23" s="5" t="n"/>
      <c r="L23" s="5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7" t="n"/>
    </row>
    <row r="24" ht="20.25" customFormat="1" customHeight="1" s="11">
      <c r="A24" s="173" t="inlineStr">
        <is>
          <t>mta0003 khớp nối New Jointer PA006A</t>
        </is>
      </c>
      <c r="B24" s="106" t="inlineStr">
        <is>
          <t>輸送</t>
        </is>
      </c>
      <c r="C24" s="129" t="n"/>
      <c r="D24" s="107" t="inlineStr">
        <is>
          <t>日</t>
        </is>
      </c>
      <c r="E24" s="130" t="n"/>
      <c r="F24" s="131" t="n"/>
      <c r="G24" s="132">
        <f>DATE(B23,E23,1)</f>
        <v/>
      </c>
      <c r="H24" s="132">
        <f>IF(G24="","",IF(DAY(G24+1)=1,"",G24+1))</f>
        <v/>
      </c>
      <c r="I24" s="132">
        <f>IF(H24="","",IF(DAY(H24+1)=1,"",H24+1))</f>
        <v/>
      </c>
      <c r="J24" s="132">
        <f>IF(I24="","",IF(DAY(I24+1)=1,"",I24+1))</f>
        <v/>
      </c>
      <c r="K24" s="132">
        <f>IF(J24="","",IF(DAY(J24+1)=1,"",J24+1))</f>
        <v/>
      </c>
      <c r="L24" s="132">
        <f>IF(K24="","",IF(DAY(K24+1)=1,"",K24+1))</f>
        <v/>
      </c>
      <c r="M24" s="132">
        <f>IF(L24="","",IF(DAY(L24+1)=1,"",L24+1))</f>
        <v/>
      </c>
      <c r="N24" s="132">
        <f>IF(M24="","",IF(DAY(M24+1)=1,"",M24+1))</f>
        <v/>
      </c>
      <c r="O24" s="132">
        <f>IF(N24="","",IF(DAY(N24+1)=1,"",N24+1))</f>
        <v/>
      </c>
      <c r="P24" s="132">
        <f>IF(O24="","",IF(DAY(O24+1)=1,"",O24+1))</f>
        <v/>
      </c>
      <c r="Q24" s="132">
        <f>IF(P24="","",IF(DAY(P24+1)=1,"",P24+1))</f>
        <v/>
      </c>
      <c r="R24" s="132">
        <f>IF(Q24="","",IF(DAY(Q24+1)=1,"",Q24+1))</f>
        <v/>
      </c>
      <c r="S24" s="132">
        <f>IF(R24="","",IF(DAY(R24+1)=1,"",R24+1))</f>
        <v/>
      </c>
      <c r="T24" s="132">
        <f>IF(S24="","",IF(DAY(S24+1)=1,"",S24+1))</f>
        <v/>
      </c>
      <c r="U24" s="132">
        <f>IF(T24="","",IF(DAY(T24+1)=1,"",T24+1))</f>
        <v/>
      </c>
      <c r="V24" s="132">
        <f>IF(U24="","",IF(DAY(U24+1)=1,"",U24+1))</f>
        <v/>
      </c>
      <c r="W24" s="132">
        <f>IF(V24="","",IF(DAY(V24+1)=1,"",V24+1))</f>
        <v/>
      </c>
      <c r="X24" s="132">
        <f>IF(W24="","",IF(DAY(W24+1)=1,"",W24+1))</f>
        <v/>
      </c>
      <c r="Y24" s="132">
        <f>IF(X24="","",IF(DAY(X24+1)=1,"",X24+1))</f>
        <v/>
      </c>
      <c r="Z24" s="132">
        <f>IF(Y24="","",IF(DAY(Y24+1)=1,"",Y24+1))</f>
        <v/>
      </c>
      <c r="AA24" s="132">
        <f>IF(Z24="","",IF(DAY(Z24+1)=1,"",Z24+1))</f>
        <v/>
      </c>
      <c r="AB24" s="132">
        <f>IF(AA24="","",IF(DAY(AA24+1)=1,"",AA24+1))</f>
        <v/>
      </c>
      <c r="AC24" s="132">
        <f>IF(AB24="","",IF(DAY(AB24+1)=1,"",AB24+1))</f>
        <v/>
      </c>
      <c r="AD24" s="132">
        <f>IF(AC24="","",IF(DAY(AC24+1)=1,"",AC24+1))</f>
        <v/>
      </c>
      <c r="AE24" s="132">
        <f>IF(AD24="","",IF(DAY(AD24+1)=1,"",AD24+1))</f>
        <v/>
      </c>
      <c r="AF24" s="132">
        <f>IF(AE24="","",IF(DAY(AE24+1)=1,"",AE24+1))</f>
        <v/>
      </c>
      <c r="AG24" s="132">
        <f>IF(AF24="","",IF(DAY(AF24+1)=1,"",AF24+1))</f>
        <v/>
      </c>
      <c r="AH24" s="132">
        <f>IF(AG24="","",IF(DAY(AG24+1)=1,"",AG24+1))</f>
        <v/>
      </c>
      <c r="AI24" s="132">
        <f>IF(AH24="","",IF(DAY(AH24+1)=1,"",AH24+1))</f>
        <v/>
      </c>
      <c r="AJ24" s="132">
        <f>IF(AI24="","",IF(DAY(AI24+1)=1,"",AI24+1))</f>
        <v/>
      </c>
      <c r="AK24" s="132">
        <f>IF(AJ24="","",IF(DAY(AJ24+1)=1,"",AJ24+1))</f>
        <v/>
      </c>
      <c r="AL24" s="133" t="inlineStr">
        <is>
          <t>Total</t>
        </is>
      </c>
      <c r="AM24" s="7" t="n"/>
      <c r="AN24" s="21" t="n"/>
      <c r="AO24" s="20" t="n"/>
    </row>
    <row r="25" ht="20.25" customFormat="1" customHeight="1" s="11">
      <c r="A25" s="134" t="n"/>
      <c r="B25" s="135" t="n"/>
      <c r="C25" s="136" t="n"/>
      <c r="D25" s="102" t="inlineStr">
        <is>
          <t>時間</t>
        </is>
      </c>
      <c r="E25" s="137" t="n"/>
      <c r="F25" s="138" t="n"/>
      <c r="G25" s="139">
        <f>+G24</f>
        <v/>
      </c>
      <c r="H25" s="139">
        <f>+H24</f>
        <v/>
      </c>
      <c r="I25" s="139">
        <f>+I24</f>
        <v/>
      </c>
      <c r="J25" s="139">
        <f>+J24</f>
        <v/>
      </c>
      <c r="K25" s="139">
        <f>+K24</f>
        <v/>
      </c>
      <c r="L25" s="139">
        <f>+L24</f>
        <v/>
      </c>
      <c r="M25" s="139">
        <f>+M24</f>
        <v/>
      </c>
      <c r="N25" s="139">
        <f>+N24</f>
        <v/>
      </c>
      <c r="O25" s="139">
        <f>+O24</f>
        <v/>
      </c>
      <c r="P25" s="139">
        <f>+P24</f>
        <v/>
      </c>
      <c r="Q25" s="139">
        <f>+Q24</f>
        <v/>
      </c>
      <c r="R25" s="139">
        <f>+R24</f>
        <v/>
      </c>
      <c r="S25" s="139">
        <f>+S24</f>
        <v/>
      </c>
      <c r="T25" s="139">
        <f>+T24</f>
        <v/>
      </c>
      <c r="U25" s="139">
        <f>+U24</f>
        <v/>
      </c>
      <c r="V25" s="139">
        <f>+V24</f>
        <v/>
      </c>
      <c r="W25" s="139">
        <f>+W24</f>
        <v/>
      </c>
      <c r="X25" s="139">
        <f>+X24</f>
        <v/>
      </c>
      <c r="Y25" s="139">
        <f>+Y24</f>
        <v/>
      </c>
      <c r="Z25" s="139">
        <f>+Z24</f>
        <v/>
      </c>
      <c r="AA25" s="139">
        <f>+AA24</f>
        <v/>
      </c>
      <c r="AB25" s="139">
        <f>+AB24</f>
        <v/>
      </c>
      <c r="AC25" s="139">
        <f>+AC24</f>
        <v/>
      </c>
      <c r="AD25" s="139">
        <f>+AD24</f>
        <v/>
      </c>
      <c r="AE25" s="139">
        <f>+AE24</f>
        <v/>
      </c>
      <c r="AF25" s="139">
        <f>+AF24</f>
        <v/>
      </c>
      <c r="AG25" s="139">
        <f>+AG24</f>
        <v/>
      </c>
      <c r="AH25" s="139">
        <f>+AH24</f>
        <v/>
      </c>
      <c r="AI25" s="139">
        <f>+AI24</f>
        <v/>
      </c>
      <c r="AJ25" s="139">
        <f>+AJ24</f>
        <v/>
      </c>
      <c r="AK25" s="139">
        <f>+AK24</f>
        <v/>
      </c>
      <c r="AL25" s="140" t="n"/>
      <c r="AN25" s="21" t="n"/>
      <c r="AO25" s="20" t="n"/>
    </row>
    <row r="26" ht="56.25" customFormat="1" customHeight="1" s="11">
      <c r="A26" s="134" t="n"/>
      <c r="B26" s="174" t="inlineStr">
        <is>
          <t>PO 注文書</t>
        </is>
      </c>
      <c r="C26" s="142" t="n"/>
      <c r="D26" s="142" t="n"/>
      <c r="E26" s="142" t="n"/>
      <c r="F26" s="143" t="n"/>
      <c r="G26" s="144" t="n"/>
      <c r="H26" s="145" t="n"/>
      <c r="I26" s="144" t="n"/>
      <c r="J26" s="145" t="n"/>
      <c r="K26" s="145" t="n"/>
      <c r="L26" s="145" t="n"/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  <c r="AA26" s="145" t="n"/>
      <c r="AB26" s="145" t="n"/>
      <c r="AC26" s="145" t="n"/>
      <c r="AD26" s="145" t="n"/>
      <c r="AE26" s="145" t="n"/>
      <c r="AF26" s="145" t="n"/>
      <c r="AG26" s="145" t="n"/>
      <c r="AH26" s="145" t="n"/>
      <c r="AI26" s="145" t="n"/>
      <c r="AJ26" s="145" t="n"/>
      <c r="AK26" s="145" t="n"/>
      <c r="AL26" s="146">
        <f>SUM(G26:AK26)</f>
        <v/>
      </c>
      <c r="AN26" s="147" t="inlineStr">
        <is>
          <t>Tồn PO
注文の 残量</t>
        </is>
      </c>
      <c r="AO26" s="148">
        <f>AO17+AL26-AO27</f>
        <v/>
      </c>
    </row>
    <row r="27" ht="56.25" customHeight="1" s="127">
      <c r="A27" s="134" t="n"/>
      <c r="B27" s="111" t="inlineStr">
        <is>
          <t xml:space="preserve">計画数量
kế hoạch </t>
        </is>
      </c>
      <c r="C27" s="149" t="n"/>
      <c r="D27" s="149" t="n"/>
      <c r="E27" s="149" t="n"/>
      <c r="F27" s="150" t="n"/>
      <c r="G27" s="144" t="n"/>
      <c r="H27" s="144" t="n"/>
      <c r="I27" s="144" t="n"/>
      <c r="J27" s="145" t="n"/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  <c r="AA27" s="145" t="n"/>
      <c r="AB27" s="145" t="n"/>
      <c r="AC27" s="145" t="n"/>
      <c r="AD27" s="145" t="n"/>
      <c r="AE27" s="145" t="n"/>
      <c r="AF27" s="145" t="n"/>
      <c r="AG27" s="145" t="n"/>
      <c r="AH27" s="145" t="n"/>
      <c r="AI27" s="145" t="n"/>
      <c r="AJ27" s="145" t="n"/>
      <c r="AK27" s="145" t="n"/>
      <c r="AL27" s="151">
        <f>SUM(G27:AK27)</f>
        <v/>
      </c>
      <c r="AM27" s="0" t="n"/>
      <c r="AN27" s="24" t="inlineStr">
        <is>
          <t>Tổng nhập 総入荷数量
（A)-(B)+(C)</t>
        </is>
      </c>
      <c r="AO27" s="152">
        <f>AL28-AL29+AL30</f>
        <v/>
      </c>
    </row>
    <row r="28" ht="56.25" customHeight="1" s="127">
      <c r="A28" s="134" t="n"/>
      <c r="B28" s="111" t="inlineStr">
        <is>
          <t>実際の納品数量
số lượng thực nhập</t>
        </is>
      </c>
      <c r="C28" s="149" t="n"/>
      <c r="D28" s="149" t="n"/>
      <c r="E28" s="149" t="n"/>
      <c r="F28" s="150" t="n"/>
      <c r="G28" s="153" t="n"/>
      <c r="H28" s="153" t="n"/>
      <c r="I28" s="154" t="n"/>
      <c r="J28" s="145" t="n"/>
      <c r="K28" s="156" t="n"/>
      <c r="L28" s="156" t="n"/>
      <c r="M28" s="155" t="n"/>
      <c r="N28" s="155" t="n"/>
      <c r="O28" s="155" t="n"/>
      <c r="P28" s="155" t="n"/>
      <c r="Q28" s="156" t="n"/>
      <c r="R28" s="156" t="n"/>
      <c r="S28" s="156" t="n"/>
      <c r="T28" s="156" t="n"/>
      <c r="U28" s="156" t="n"/>
      <c r="V28" s="156" t="n"/>
      <c r="W28" s="156" t="n"/>
      <c r="X28" s="156" t="n"/>
      <c r="Y28" s="156" t="n"/>
      <c r="Z28" s="156" t="n"/>
      <c r="AA28" s="156" t="n"/>
      <c r="AB28" s="156" t="n"/>
      <c r="AC28" s="155" t="n"/>
      <c r="AD28" s="155" t="n"/>
      <c r="AE28" s="156" t="n"/>
      <c r="AF28" s="156" t="n"/>
      <c r="AG28" s="155" t="n"/>
      <c r="AH28" s="155" t="n"/>
      <c r="AI28" s="156" t="n"/>
      <c r="AJ28" s="156" t="n"/>
      <c r="AK28" s="156" t="n"/>
      <c r="AL28" s="157">
        <f>SUM(G28:AK28)</f>
        <v/>
      </c>
      <c r="AM28" s="6" t="inlineStr">
        <is>
          <t>(A)</t>
        </is>
      </c>
      <c r="AN28" s="24" t="inlineStr">
        <is>
          <t>Số lượng chưa khai tháng trước 先月まだ税関に申告されていない数量</t>
        </is>
      </c>
      <c r="AO28" s="148">
        <f>AO21</f>
        <v/>
      </c>
    </row>
    <row r="29" ht="56.25" customHeight="1" s="127">
      <c r="A29" s="134" t="n"/>
      <c r="B29" s="111" t="inlineStr">
        <is>
          <t>NG数量（DO SUNG 社変更済）
số lượng NG (Trả hàng DO SUNG)</t>
        </is>
      </c>
      <c r="C29" s="149" t="n"/>
      <c r="D29" s="149" t="n"/>
      <c r="E29" s="149" t="n"/>
      <c r="F29" s="150" t="n"/>
      <c r="G29" s="144" t="n"/>
      <c r="H29" s="144" t="n"/>
      <c r="I29" s="144" t="n"/>
      <c r="J29" s="145" t="n"/>
      <c r="K29" s="145" t="n"/>
      <c r="L29" s="145" t="n">
        <v>158</v>
      </c>
      <c r="M29" s="145" t="n"/>
      <c r="N29" s="145" t="n"/>
      <c r="O29" s="145" t="n"/>
      <c r="P29" s="145" t="n"/>
      <c r="Q29" s="145" t="n"/>
      <c r="R29" s="145" t="n"/>
      <c r="S29" s="145" t="n"/>
      <c r="T29" s="145" t="n"/>
      <c r="U29" s="145" t="n"/>
      <c r="V29" s="145" t="n"/>
      <c r="W29" s="145" t="n"/>
      <c r="X29" s="145" t="n"/>
      <c r="Y29" s="145" t="n"/>
      <c r="Z29" s="145" t="n"/>
      <c r="AA29" s="145" t="n"/>
      <c r="AB29" s="145" t="n"/>
      <c r="AC29" s="145" t="n"/>
      <c r="AD29" s="145" t="n"/>
      <c r="AE29" s="145" t="n"/>
      <c r="AF29" s="145" t="n"/>
      <c r="AG29" s="145" t="n"/>
      <c r="AH29" s="145" t="n"/>
      <c r="AI29" s="145" t="n"/>
      <c r="AJ29" s="145" t="n"/>
      <c r="AK29" s="145" t="n"/>
      <c r="AL29" s="158">
        <f>SUM(G29:AK29)</f>
        <v/>
      </c>
      <c r="AM29" s="6" t="inlineStr">
        <is>
          <t>(B)</t>
        </is>
      </c>
      <c r="AN29" s="24" t="inlineStr">
        <is>
          <t>Số lượng đã khai tháng này 今月税関に申告された数量</t>
        </is>
      </c>
      <c r="AO29" s="26" t="n"/>
    </row>
    <row r="30" ht="56.25" customHeight="1" s="127" thickBot="1">
      <c r="A30" s="159" t="n"/>
      <c r="B30" s="109" t="inlineStr">
        <is>
          <t>NG数量（ドンスン　社しゅり済）
số lượng NG (DO SUNG đã sửa )</t>
        </is>
      </c>
      <c r="C30" s="160" t="n"/>
      <c r="D30" s="160" t="n"/>
      <c r="E30" s="160" t="n"/>
      <c r="F30" s="161" t="n"/>
      <c r="G30" s="162" t="n"/>
      <c r="H30" s="162" t="n"/>
      <c r="I30" s="163" t="n"/>
      <c r="J30" s="164" t="n"/>
      <c r="K30" s="165" t="n"/>
      <c r="L30" s="164" t="n"/>
      <c r="M30" s="164" t="n"/>
      <c r="N30" s="164" t="n"/>
      <c r="O30" s="164" t="n"/>
      <c r="P30" s="164" t="n"/>
      <c r="Q30" s="164" t="n"/>
      <c r="R30" s="165" t="n"/>
      <c r="S30" s="164" t="n"/>
      <c r="T30" s="164" t="n"/>
      <c r="U30" s="164" t="n"/>
      <c r="V30" s="164" t="n"/>
      <c r="W30" s="164" t="n"/>
      <c r="X30" s="164" t="n">
        <v>154</v>
      </c>
      <c r="Y30" s="165" t="n"/>
      <c r="Z30" s="164" t="n"/>
      <c r="AA30" s="164" t="n"/>
      <c r="AB30" s="164" t="n"/>
      <c r="AC30" s="164" t="n"/>
      <c r="AD30" s="164" t="n"/>
      <c r="AE30" s="165" t="n"/>
      <c r="AF30" s="165" t="n"/>
      <c r="AG30" s="164" t="n"/>
      <c r="AH30" s="164" t="n"/>
      <c r="AI30" s="164" t="n"/>
      <c r="AJ30" s="165" t="n"/>
      <c r="AK30" s="165" t="n"/>
      <c r="AL30" s="166">
        <f>SUM(G30:AK30)</f>
        <v/>
      </c>
      <c r="AM30" s="6" t="inlineStr">
        <is>
          <t>(C)</t>
        </is>
      </c>
      <c r="AN30" s="24" t="inlineStr">
        <is>
          <t>Số lượng còn lại chưa khai 残りの数量はまだ税関に申告されていません</t>
        </is>
      </c>
      <c r="AO30" s="148">
        <f>AO28+AO27-AO29</f>
        <v/>
      </c>
    </row>
    <row r="32" ht="21" customHeight="1" s="127" thickBot="1">
      <c r="B32" s="85" t="n">
        <v>2026</v>
      </c>
      <c r="D32" s="85" t="inlineStr">
        <is>
          <t>年</t>
        </is>
      </c>
      <c r="E32" s="85" t="n">
        <v>6</v>
      </c>
      <c r="F32" s="29" t="inlineStr">
        <is>
          <t>月</t>
        </is>
      </c>
      <c r="G32" s="8" t="n"/>
      <c r="H32" s="3" t="n"/>
      <c r="I32" s="3" t="n"/>
      <c r="J32" s="5" t="n"/>
      <c r="K32" s="5" t="n"/>
      <c r="L32" s="5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7" t="n"/>
    </row>
    <row r="33" ht="20.25" customFormat="1" customHeight="1" s="11">
      <c r="A33" s="173" t="inlineStr">
        <is>
          <t>mta0003 khớp nối New Jointer PA006A</t>
        </is>
      </c>
      <c r="B33" s="106" t="inlineStr">
        <is>
          <t>輸送</t>
        </is>
      </c>
      <c r="C33" s="129" t="n"/>
      <c r="D33" s="107" t="inlineStr">
        <is>
          <t>日</t>
        </is>
      </c>
      <c r="E33" s="130" t="n"/>
      <c r="F33" s="131" t="n"/>
      <c r="G33" s="132">
        <f>DATE(B32,E32,1)</f>
        <v/>
      </c>
      <c r="H33" s="132">
        <f>IF(G33="","",IF(DAY(G33+1)=1,"",G33+1))</f>
        <v/>
      </c>
      <c r="I33" s="132">
        <f>IF(H33="","",IF(DAY(H33+1)=1,"",H33+1))</f>
        <v/>
      </c>
      <c r="J33" s="132">
        <f>IF(I33="","",IF(DAY(I33+1)=1,"",I33+1))</f>
        <v/>
      </c>
      <c r="K33" s="132">
        <f>IF(J33="","",IF(DAY(J33+1)=1,"",J33+1))</f>
        <v/>
      </c>
      <c r="L33" s="132">
        <f>IF(K33="","",IF(DAY(K33+1)=1,"",K33+1))</f>
        <v/>
      </c>
      <c r="M33" s="132">
        <f>IF(L33="","",IF(DAY(L33+1)=1,"",L33+1))</f>
        <v/>
      </c>
      <c r="N33" s="132">
        <f>IF(M33="","",IF(DAY(M33+1)=1,"",M33+1))</f>
        <v/>
      </c>
      <c r="O33" s="132">
        <f>IF(N33="","",IF(DAY(N33+1)=1,"",N33+1))</f>
        <v/>
      </c>
      <c r="P33" s="132">
        <f>IF(O33="","",IF(DAY(O33+1)=1,"",O33+1))</f>
        <v/>
      </c>
      <c r="Q33" s="132">
        <f>IF(P33="","",IF(DAY(P33+1)=1,"",P33+1))</f>
        <v/>
      </c>
      <c r="R33" s="132">
        <f>IF(Q33="","",IF(DAY(Q33+1)=1,"",Q33+1))</f>
        <v/>
      </c>
      <c r="S33" s="132">
        <f>IF(R33="","",IF(DAY(R33+1)=1,"",R33+1))</f>
        <v/>
      </c>
      <c r="T33" s="132">
        <f>IF(S33="","",IF(DAY(S33+1)=1,"",S33+1))</f>
        <v/>
      </c>
      <c r="U33" s="132">
        <f>IF(T33="","",IF(DAY(T33+1)=1,"",T33+1))</f>
        <v/>
      </c>
      <c r="V33" s="132">
        <f>IF(U33="","",IF(DAY(U33+1)=1,"",U33+1))</f>
        <v/>
      </c>
      <c r="W33" s="132">
        <f>IF(V33="","",IF(DAY(V33+1)=1,"",V33+1))</f>
        <v/>
      </c>
      <c r="X33" s="132">
        <f>IF(W33="","",IF(DAY(W33+1)=1,"",W33+1))</f>
        <v/>
      </c>
      <c r="Y33" s="132">
        <f>IF(X33="","",IF(DAY(X33+1)=1,"",X33+1))</f>
        <v/>
      </c>
      <c r="Z33" s="132">
        <f>IF(Y33="","",IF(DAY(Y33+1)=1,"",Y33+1))</f>
        <v/>
      </c>
      <c r="AA33" s="132">
        <f>IF(Z33="","",IF(DAY(Z33+1)=1,"",Z33+1))</f>
        <v/>
      </c>
      <c r="AB33" s="132">
        <f>IF(AA33="","",IF(DAY(AA33+1)=1,"",AA33+1))</f>
        <v/>
      </c>
      <c r="AC33" s="132">
        <f>IF(AB33="","",IF(DAY(AB33+1)=1,"",AB33+1))</f>
        <v/>
      </c>
      <c r="AD33" s="132">
        <f>IF(AC33="","",IF(DAY(AC33+1)=1,"",AC33+1))</f>
        <v/>
      </c>
      <c r="AE33" s="132">
        <f>IF(AD33="","",IF(DAY(AD33+1)=1,"",AD33+1))</f>
        <v/>
      </c>
      <c r="AF33" s="132">
        <f>IF(AE33="","",IF(DAY(AE33+1)=1,"",AE33+1))</f>
        <v/>
      </c>
      <c r="AG33" s="132">
        <f>IF(AF33="","",IF(DAY(AF33+1)=1,"",AF33+1))</f>
        <v/>
      </c>
      <c r="AH33" s="132">
        <f>IF(AG33="","",IF(DAY(AG33+1)=1,"",AG33+1))</f>
        <v/>
      </c>
      <c r="AI33" s="132">
        <f>IF(AH33="","",IF(DAY(AH33+1)=1,"",AH33+1))</f>
        <v/>
      </c>
      <c r="AJ33" s="132">
        <f>IF(AI33="","",IF(DAY(AI33+1)=1,"",AI33+1))</f>
        <v/>
      </c>
      <c r="AK33" s="132">
        <f>IF(AJ33="","",IF(DAY(AJ33+1)=1,"",AJ33+1))</f>
        <v/>
      </c>
      <c r="AL33" s="133" t="inlineStr">
        <is>
          <t>Total</t>
        </is>
      </c>
      <c r="AM33" s="7" t="n"/>
      <c r="AN33" s="21" t="n"/>
      <c r="AO33" s="20" t="n"/>
    </row>
    <row r="34" ht="20.25" customFormat="1" customHeight="1" s="11">
      <c r="A34" s="134" t="n"/>
      <c r="B34" s="135" t="n"/>
      <c r="C34" s="136" t="n"/>
      <c r="D34" s="102" t="inlineStr">
        <is>
          <t>時間</t>
        </is>
      </c>
      <c r="E34" s="137" t="n"/>
      <c r="F34" s="138" t="n"/>
      <c r="G34" s="139">
        <f>+G33</f>
        <v/>
      </c>
      <c r="H34" s="139">
        <f>+H33</f>
        <v/>
      </c>
      <c r="I34" s="139">
        <f>+I33</f>
        <v/>
      </c>
      <c r="J34" s="139">
        <f>+J33</f>
        <v/>
      </c>
      <c r="K34" s="139">
        <f>+K33</f>
        <v/>
      </c>
      <c r="L34" s="139">
        <f>+L33</f>
        <v/>
      </c>
      <c r="M34" s="139">
        <f>+M33</f>
        <v/>
      </c>
      <c r="N34" s="139">
        <f>+N33</f>
        <v/>
      </c>
      <c r="O34" s="139">
        <f>+O33</f>
        <v/>
      </c>
      <c r="P34" s="139">
        <f>+P33</f>
        <v/>
      </c>
      <c r="Q34" s="139">
        <f>+Q33</f>
        <v/>
      </c>
      <c r="R34" s="139">
        <f>+R33</f>
        <v/>
      </c>
      <c r="S34" s="139">
        <f>+S33</f>
        <v/>
      </c>
      <c r="T34" s="139">
        <f>+T33</f>
        <v/>
      </c>
      <c r="U34" s="139">
        <f>+U33</f>
        <v/>
      </c>
      <c r="V34" s="139">
        <f>+V33</f>
        <v/>
      </c>
      <c r="W34" s="139">
        <f>+W33</f>
        <v/>
      </c>
      <c r="X34" s="139">
        <f>+X33</f>
        <v/>
      </c>
      <c r="Y34" s="139">
        <f>+Y33</f>
        <v/>
      </c>
      <c r="Z34" s="139">
        <f>+Z33</f>
        <v/>
      </c>
      <c r="AA34" s="139">
        <f>+AA33</f>
        <v/>
      </c>
      <c r="AB34" s="139">
        <f>+AB33</f>
        <v/>
      </c>
      <c r="AC34" s="139">
        <f>+AC33</f>
        <v/>
      </c>
      <c r="AD34" s="139">
        <f>+AD33</f>
        <v/>
      </c>
      <c r="AE34" s="139">
        <f>+AE33</f>
        <v/>
      </c>
      <c r="AF34" s="139">
        <f>+AF33</f>
        <v/>
      </c>
      <c r="AG34" s="139">
        <f>+AG33</f>
        <v/>
      </c>
      <c r="AH34" s="139">
        <f>+AH33</f>
        <v/>
      </c>
      <c r="AI34" s="139">
        <f>+AI33</f>
        <v/>
      </c>
      <c r="AJ34" s="139">
        <f>+AJ33</f>
        <v/>
      </c>
      <c r="AK34" s="139">
        <f>+AK33</f>
        <v/>
      </c>
      <c r="AL34" s="140" t="n"/>
      <c r="AN34" s="21" t="n"/>
      <c r="AO34" s="20" t="n"/>
    </row>
    <row r="35" ht="56.25" customFormat="1" customHeight="1" s="11">
      <c r="A35" s="134" t="n"/>
      <c r="B35" s="174" t="inlineStr">
        <is>
          <t>PO 注文書</t>
        </is>
      </c>
      <c r="C35" s="142" t="n"/>
      <c r="D35" s="142" t="n"/>
      <c r="E35" s="142" t="n"/>
      <c r="F35" s="143" t="n"/>
      <c r="G35" s="144" t="n"/>
      <c r="H35" s="145" t="n"/>
      <c r="I35" s="144" t="n"/>
      <c r="J35" s="145" t="n"/>
      <c r="K35" s="145" t="n"/>
      <c r="L35" s="145" t="n"/>
      <c r="M35" s="145" t="n"/>
      <c r="N35" s="145" t="n"/>
      <c r="O35" s="145" t="n"/>
      <c r="P35" s="145" t="n"/>
      <c r="Q35" s="145" t="n"/>
      <c r="R35" s="145" t="n"/>
      <c r="S35" s="145" t="n"/>
      <c r="T35" s="145" t="n"/>
      <c r="U35" s="145" t="n">
        <v>2000</v>
      </c>
      <c r="V35" s="145" t="n"/>
      <c r="W35" s="145" t="n"/>
      <c r="X35" s="145" t="n"/>
      <c r="Y35" s="145" t="n"/>
      <c r="Z35" s="145" t="n"/>
      <c r="AA35" s="145" t="n"/>
      <c r="AB35" s="145" t="n"/>
      <c r="AC35" s="145" t="n"/>
      <c r="AD35" s="145" t="n"/>
      <c r="AE35" s="145" t="n"/>
      <c r="AF35" s="145" t="n"/>
      <c r="AG35" s="145" t="n"/>
      <c r="AH35" s="145" t="n"/>
      <c r="AI35" s="145" t="n"/>
      <c r="AJ35" s="145" t="n"/>
      <c r="AK35" s="145" t="n"/>
      <c r="AL35" s="146">
        <f>SUM(G35:AK35)</f>
        <v/>
      </c>
      <c r="AN35" s="147" t="inlineStr">
        <is>
          <t>Tồn PO
注文の 残量</t>
        </is>
      </c>
      <c r="AO35" s="148">
        <f>AO26+AL35-AO36</f>
        <v/>
      </c>
    </row>
    <row r="36" ht="56.25" customHeight="1" s="127">
      <c r="A36" s="134" t="n"/>
      <c r="B36" s="111" t="inlineStr">
        <is>
          <t xml:space="preserve">計画数量
kế hoạch </t>
        </is>
      </c>
      <c r="C36" s="149" t="n"/>
      <c r="D36" s="149" t="n"/>
      <c r="E36" s="149" t="n"/>
      <c r="F36" s="150" t="n"/>
      <c r="G36" s="144" t="n"/>
      <c r="H36" s="144" t="n"/>
      <c r="I36" s="144" t="n"/>
      <c r="J36" s="145" t="n"/>
      <c r="K36" s="145" t="n"/>
      <c r="L36" s="145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  <c r="AA36" s="145" t="n"/>
      <c r="AB36" s="145" t="n"/>
      <c r="AC36" s="145" t="n"/>
      <c r="AD36" s="145" t="n"/>
      <c r="AE36" s="145" t="n"/>
      <c r="AF36" s="145" t="n"/>
      <c r="AG36" s="145" t="n"/>
      <c r="AH36" s="145" t="n"/>
      <c r="AI36" s="145" t="n"/>
      <c r="AJ36" s="145" t="n"/>
      <c r="AK36" s="145" t="n"/>
      <c r="AL36" s="151">
        <f>SUM(G36:AK36)</f>
        <v/>
      </c>
      <c r="AM36" s="0" t="n"/>
      <c r="AN36" s="24" t="inlineStr">
        <is>
          <t>Tổng nhập 総入荷数量
（A)-(B)+(C)</t>
        </is>
      </c>
      <c r="AO36" s="152">
        <f>AL37-AL38+AL39</f>
        <v/>
      </c>
    </row>
    <row r="37" ht="56.25" customHeight="1" s="127">
      <c r="A37" s="134" t="n"/>
      <c r="B37" s="111" t="inlineStr">
        <is>
          <t>実際の納品数量
số lượng thực nhập</t>
        </is>
      </c>
      <c r="C37" s="149" t="n"/>
      <c r="D37" s="149" t="n"/>
      <c r="E37" s="149" t="n"/>
      <c r="F37" s="150" t="n"/>
      <c r="G37" s="153" t="n"/>
      <c r="H37" s="153" t="n"/>
      <c r="I37" s="154" t="n"/>
      <c r="J37" s="145" t="n"/>
      <c r="K37" s="156" t="n"/>
      <c r="L37" s="156" t="n"/>
      <c r="M37" s="155" t="n"/>
      <c r="N37" s="155" t="n"/>
      <c r="O37" s="155" t="n"/>
      <c r="P37" s="155" t="n"/>
      <c r="Q37" s="156" t="n"/>
      <c r="R37" s="156" t="n"/>
      <c r="S37" s="156" t="n"/>
      <c r="T37" s="156" t="n"/>
      <c r="U37" s="156" t="n"/>
      <c r="V37" s="156" t="n"/>
      <c r="W37" s="156" t="n">
        <v>580</v>
      </c>
      <c r="X37" s="156" t="n"/>
      <c r="Y37" s="156" t="n"/>
      <c r="Z37" s="156" t="n">
        <v>504</v>
      </c>
      <c r="AA37" s="156" t="n"/>
      <c r="AB37" s="156" t="n"/>
      <c r="AC37" s="155" t="n">
        <v>460</v>
      </c>
      <c r="AD37" s="155" t="n"/>
      <c r="AE37" s="156" t="n">
        <v>460</v>
      </c>
      <c r="AF37" s="156" t="n"/>
      <c r="AG37" s="155" t="n"/>
      <c r="AH37" s="155" t="n"/>
      <c r="AI37" s="156" t="n"/>
      <c r="AJ37" s="156" t="n">
        <v>-4</v>
      </c>
      <c r="AK37" s="156" t="n"/>
      <c r="AL37" s="157">
        <f>SUM(G37:AK37)</f>
        <v/>
      </c>
      <c r="AM37" s="6" t="inlineStr">
        <is>
          <t>(A)</t>
        </is>
      </c>
      <c r="AN37" s="24" t="inlineStr">
        <is>
          <t>Số lượng chưa khai tháng trước 先月まだ税関に申告されていない数量</t>
        </is>
      </c>
      <c r="AO37" s="148">
        <f>AO30</f>
        <v/>
      </c>
    </row>
    <row r="38" ht="56.25" customHeight="1" s="127">
      <c r="A38" s="134" t="n"/>
      <c r="B38" s="111" t="inlineStr">
        <is>
          <t>NG数量（DO SUNG 社変更済）
số lượng NG (Trả hàng DO SUNG)</t>
        </is>
      </c>
      <c r="C38" s="149" t="n"/>
      <c r="D38" s="149" t="n"/>
      <c r="E38" s="149" t="n"/>
      <c r="F38" s="150" t="n"/>
      <c r="G38" s="144" t="n"/>
      <c r="H38" s="144" t="n"/>
      <c r="I38" s="144" t="n"/>
      <c r="J38" s="145" t="n"/>
      <c r="K38" s="145" t="n"/>
      <c r="L38" s="145" t="n"/>
      <c r="M38" s="145" t="n"/>
      <c r="N38" s="145" t="n"/>
      <c r="O38" s="145" t="n"/>
      <c r="P38" s="145" t="n"/>
      <c r="Q38" s="145" t="n"/>
      <c r="R38" s="145" t="n"/>
      <c r="S38" s="145" t="n"/>
      <c r="T38" s="145" t="n"/>
      <c r="U38" s="145" t="n"/>
      <c r="V38" s="145" t="n"/>
      <c r="W38" s="145" t="n"/>
      <c r="X38" s="145" t="n"/>
      <c r="Y38" s="145" t="n"/>
      <c r="Z38" s="145" t="n"/>
      <c r="AA38" s="145" t="n"/>
      <c r="AB38" s="145" t="n"/>
      <c r="AC38" s="145" t="n"/>
      <c r="AD38" s="145" t="n"/>
      <c r="AE38" s="145" t="n"/>
      <c r="AF38" s="145" t="n"/>
      <c r="AG38" s="145" t="n"/>
      <c r="AH38" s="145" t="n"/>
      <c r="AI38" s="145" t="n"/>
      <c r="AJ38" s="145" t="n"/>
      <c r="AK38" s="145" t="n"/>
      <c r="AL38" s="158">
        <f>SUM(G38:AK38)</f>
        <v/>
      </c>
      <c r="AM38" s="6" t="inlineStr">
        <is>
          <t>(B)</t>
        </is>
      </c>
      <c r="AN38" s="24" t="inlineStr">
        <is>
          <t>Số lượng đã khai tháng này 今月税関に申告された数量</t>
        </is>
      </c>
      <c r="AO38" s="26" t="n"/>
    </row>
    <row r="39" ht="56.25" customHeight="1" s="127" thickBot="1">
      <c r="A39" s="159" t="n"/>
      <c r="B39" s="109" t="inlineStr">
        <is>
          <t>NG数量（ドンスン　社しゅり済）
số lượng NG (DO SUNG đã sửa )</t>
        </is>
      </c>
      <c r="C39" s="160" t="n"/>
      <c r="D39" s="160" t="n"/>
      <c r="E39" s="160" t="n"/>
      <c r="F39" s="161" t="n"/>
      <c r="G39" s="162" t="n"/>
      <c r="H39" s="162" t="n"/>
      <c r="I39" s="163" t="n"/>
      <c r="J39" s="164" t="n"/>
      <c r="K39" s="165" t="n"/>
      <c r="L39" s="164" t="n"/>
      <c r="M39" s="164" t="n"/>
      <c r="N39" s="164" t="n"/>
      <c r="O39" s="164" t="n"/>
      <c r="P39" s="164" t="n"/>
      <c r="Q39" s="164" t="n"/>
      <c r="R39" s="165" t="n"/>
      <c r="S39" s="164" t="n"/>
      <c r="T39" s="164" t="n"/>
      <c r="U39" s="164" t="n"/>
      <c r="V39" s="164" t="n"/>
      <c r="W39" s="164" t="n"/>
      <c r="X39" s="164" t="n"/>
      <c r="Y39" s="165" t="n"/>
      <c r="Z39" s="164" t="n"/>
      <c r="AA39" s="164" t="n"/>
      <c r="AB39" s="164" t="n"/>
      <c r="AC39" s="164" t="n"/>
      <c r="AD39" s="164" t="n"/>
      <c r="AE39" s="165" t="n"/>
      <c r="AF39" s="165" t="n"/>
      <c r="AG39" s="164" t="n"/>
      <c r="AH39" s="164" t="n"/>
      <c r="AI39" s="164" t="n"/>
      <c r="AJ39" s="165" t="n"/>
      <c r="AK39" s="165" t="n"/>
      <c r="AL39" s="166">
        <f>SUM(G39:AK39)</f>
        <v/>
      </c>
      <c r="AM39" s="6" t="inlineStr">
        <is>
          <t>(C)</t>
        </is>
      </c>
      <c r="AN39" s="24" t="inlineStr">
        <is>
          <t>Số lượng còn lại chưa khai 残りの数量はまだ税関に申告されていません</t>
        </is>
      </c>
      <c r="AO39" s="148">
        <f>AO37+AO36-AO38</f>
        <v/>
      </c>
    </row>
    <row r="42" ht="29.25" customHeight="1" s="127" thickBot="1">
      <c r="B42" s="85" t="n">
        <v>2026</v>
      </c>
      <c r="D42" s="85" t="inlineStr">
        <is>
          <t>年</t>
        </is>
      </c>
      <c r="E42" s="85" t="n">
        <v>10</v>
      </c>
      <c r="F42" s="29" t="inlineStr">
        <is>
          <t>月</t>
        </is>
      </c>
      <c r="G42" s="8" t="n"/>
      <c r="H42" s="3" t="n"/>
      <c r="I42" s="3" t="n"/>
      <c r="J42" s="5" t="n"/>
      <c r="K42" s="5" t="n"/>
      <c r="L42" s="5" t="n"/>
      <c r="M42" s="4" t="n"/>
      <c r="N42" s="4" t="n"/>
      <c r="O42" s="4" t="n"/>
      <c r="P42" s="4" t="n"/>
      <c r="Q42" s="71" t="inlineStr">
        <is>
          <t>11/07/2026 đặt PO</t>
        </is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7" t="n"/>
    </row>
    <row r="43" ht="28.5" customHeight="1" s="127">
      <c r="A43" s="173" t="inlineStr">
        <is>
          <t>mta0003 khớp nối New Jointer PA006A</t>
        </is>
      </c>
      <c r="B43" s="106" t="inlineStr">
        <is>
          <t>輸送</t>
        </is>
      </c>
      <c r="C43" s="129" t="n"/>
      <c r="D43" s="107" t="inlineStr">
        <is>
          <t>日</t>
        </is>
      </c>
      <c r="E43" s="130" t="n"/>
      <c r="F43" s="131" t="n"/>
      <c r="G43" s="132">
        <f>DATE(B42,E42,1)</f>
        <v/>
      </c>
      <c r="H43" s="132">
        <f>IF(G43="","",IF(DAY(G43+1)=1,"",G43+1))</f>
        <v/>
      </c>
      <c r="I43" s="132">
        <f>IF(H43="","",IF(DAY(H43+1)=1,"",H43+1))</f>
        <v/>
      </c>
      <c r="J43" s="132">
        <f>IF(I43="","",IF(DAY(I43+1)=1,"",I43+1))</f>
        <v/>
      </c>
      <c r="K43" s="132">
        <f>IF(J43="","",IF(DAY(J43+1)=1,"",J43+1))</f>
        <v/>
      </c>
      <c r="L43" s="132">
        <f>IF(K43="","",IF(DAY(K43+1)=1,"",K43+1))</f>
        <v/>
      </c>
      <c r="M43" s="132">
        <f>IF(L43="","",IF(DAY(L43+1)=1,"",L43+1))</f>
        <v/>
      </c>
      <c r="N43" s="132">
        <f>IF(M43="","",IF(DAY(M43+1)=1,"",M43+1))</f>
        <v/>
      </c>
      <c r="O43" s="132">
        <f>IF(N43="","",IF(DAY(N43+1)=1,"",N43+1))</f>
        <v/>
      </c>
      <c r="P43" s="132">
        <f>IF(O43="","",IF(DAY(O43+1)=1,"",O43+1))</f>
        <v/>
      </c>
      <c r="Q43" s="132">
        <f>IF(P43="","",IF(DAY(P43+1)=1,"",P43+1))</f>
        <v/>
      </c>
      <c r="R43" s="132">
        <f>IF(Q43="","",IF(DAY(Q43+1)=1,"",Q43+1))</f>
        <v/>
      </c>
      <c r="S43" s="132">
        <f>IF(R43="","",IF(DAY(R43+1)=1,"",R43+1))</f>
        <v/>
      </c>
      <c r="T43" s="132">
        <f>IF(S43="","",IF(DAY(S43+1)=1,"",S43+1))</f>
        <v/>
      </c>
      <c r="U43" s="132">
        <f>IF(T43="","",IF(DAY(T43+1)=1,"",T43+1))</f>
        <v/>
      </c>
      <c r="V43" s="132">
        <f>IF(U43="","",IF(DAY(U43+1)=1,"",U43+1))</f>
        <v/>
      </c>
      <c r="W43" s="132">
        <f>IF(V43="","",IF(DAY(V43+1)=1,"",V43+1))</f>
        <v/>
      </c>
      <c r="X43" s="132">
        <f>IF(W43="","",IF(DAY(W43+1)=1,"",W43+1))</f>
        <v/>
      </c>
      <c r="Y43" s="132">
        <f>IF(X43="","",IF(DAY(X43+1)=1,"",X43+1))</f>
        <v/>
      </c>
      <c r="Z43" s="132">
        <f>IF(Y43="","",IF(DAY(Y43+1)=1,"",Y43+1))</f>
        <v/>
      </c>
      <c r="AA43" s="132">
        <f>IF(Z43="","",IF(DAY(Z43+1)=1,"",Z43+1))</f>
        <v/>
      </c>
      <c r="AB43" s="132">
        <f>IF(AA43="","",IF(DAY(AA43+1)=1,"",AA43+1))</f>
        <v/>
      </c>
      <c r="AC43" s="132">
        <f>IF(AB43="","",IF(DAY(AB43+1)=1,"",AB43+1))</f>
        <v/>
      </c>
      <c r="AD43" s="132">
        <f>IF(AC43="","",IF(DAY(AC43+1)=1,"",AC43+1))</f>
        <v/>
      </c>
      <c r="AE43" s="132">
        <f>IF(AD43="","",IF(DAY(AD43+1)=1,"",AD43+1))</f>
        <v/>
      </c>
      <c r="AF43" s="132">
        <f>IF(AE43="","",IF(DAY(AE43+1)=1,"",AE43+1))</f>
        <v/>
      </c>
      <c r="AG43" s="132">
        <f>IF(AF43="","",IF(DAY(AF43+1)=1,"",AF43+1))</f>
        <v/>
      </c>
      <c r="AH43" s="132">
        <f>IF(AG43="","",IF(DAY(AG43+1)=1,"",AG43+1))</f>
        <v/>
      </c>
      <c r="AI43" s="132">
        <f>IF(AH43="","",IF(DAY(AH43+1)=1,"",AH43+1))</f>
        <v/>
      </c>
      <c r="AJ43" s="132">
        <f>IF(AI43="","",IF(DAY(AI43+1)=1,"",AI43+1))</f>
        <v/>
      </c>
      <c r="AK43" s="132">
        <f>IF(AJ43="","",IF(DAY(AJ43+1)=1,"",AJ43+1))</f>
        <v/>
      </c>
      <c r="AL43" s="133" t="inlineStr">
        <is>
          <t>Total</t>
        </is>
      </c>
      <c r="AM43" s="7" t="n"/>
      <c r="AN43" s="21" t="n"/>
    </row>
    <row r="44">
      <c r="A44" s="134" t="n"/>
      <c r="B44" s="135" t="n"/>
      <c r="C44" s="136" t="n"/>
      <c r="D44" s="102" t="inlineStr">
        <is>
          <t>時間</t>
        </is>
      </c>
      <c r="E44" s="137" t="n"/>
      <c r="F44" s="138" t="n"/>
      <c r="G44" s="139">
        <f>+G43</f>
        <v/>
      </c>
      <c r="H44" s="139">
        <f>+H43</f>
        <v/>
      </c>
      <c r="I44" s="139">
        <f>+I43</f>
        <v/>
      </c>
      <c r="J44" s="139">
        <f>+J43</f>
        <v/>
      </c>
      <c r="K44" s="139">
        <f>+K43</f>
        <v/>
      </c>
      <c r="L44" s="139">
        <f>+L43</f>
        <v/>
      </c>
      <c r="M44" s="139">
        <f>+M43</f>
        <v/>
      </c>
      <c r="N44" s="139">
        <f>+N43</f>
        <v/>
      </c>
      <c r="O44" s="139">
        <f>+O43</f>
        <v/>
      </c>
      <c r="P44" s="139">
        <f>+P43</f>
        <v/>
      </c>
      <c r="Q44" s="139">
        <f>+Q43</f>
        <v/>
      </c>
      <c r="R44" s="139">
        <f>+R43</f>
        <v/>
      </c>
      <c r="S44" s="139">
        <f>+S43</f>
        <v/>
      </c>
      <c r="T44" s="139">
        <f>+T43</f>
        <v/>
      </c>
      <c r="U44" s="139">
        <f>+U43</f>
        <v/>
      </c>
      <c r="V44" s="139">
        <f>+V43</f>
        <v/>
      </c>
      <c r="W44" s="139">
        <f>+W43</f>
        <v/>
      </c>
      <c r="X44" s="139">
        <f>+X43</f>
        <v/>
      </c>
      <c r="Y44" s="139">
        <f>+Y43</f>
        <v/>
      </c>
      <c r="Z44" s="139">
        <f>+Z43</f>
        <v/>
      </c>
      <c r="AA44" s="139">
        <f>+AA43</f>
        <v/>
      </c>
      <c r="AB44" s="139">
        <f>+AB43</f>
        <v/>
      </c>
      <c r="AC44" s="139">
        <f>+AC43</f>
        <v/>
      </c>
      <c r="AD44" s="139">
        <f>+AD43</f>
        <v/>
      </c>
      <c r="AE44" s="139">
        <f>+AE43</f>
        <v/>
      </c>
      <c r="AF44" s="139">
        <f>+AF43</f>
        <v/>
      </c>
      <c r="AG44" s="139">
        <f>+AG43</f>
        <v/>
      </c>
      <c r="AH44" s="139">
        <f>+AH43</f>
        <v/>
      </c>
      <c r="AI44" s="139">
        <f>+AI43</f>
        <v/>
      </c>
      <c r="AJ44" s="139">
        <f>+AJ43</f>
        <v/>
      </c>
      <c r="AK44" s="139">
        <f>+AK43</f>
        <v/>
      </c>
      <c r="AL44" s="140" t="n"/>
      <c r="AM44" s="11" t="n"/>
      <c r="AN44" s="21" t="n"/>
    </row>
    <row r="45" ht="42" customHeight="1" s="127">
      <c r="A45" s="134" t="n"/>
      <c r="B45" s="174" t="inlineStr">
        <is>
          <t>PO 注文書</t>
        </is>
      </c>
      <c r="C45" s="142" t="n"/>
      <c r="D45" s="142" t="n"/>
      <c r="E45" s="142" t="n"/>
      <c r="F45" s="143" t="n"/>
      <c r="G45" s="144" t="n"/>
      <c r="H45" s="145" t="n"/>
      <c r="I45" s="144" t="n"/>
      <c r="J45" s="145" t="n"/>
      <c r="K45" s="145" t="n"/>
      <c r="L45" s="145" t="n"/>
      <c r="M45" s="145" t="n"/>
      <c r="N45" s="145" t="n"/>
      <c r="O45" s="145" t="n"/>
      <c r="P45" s="145" t="n"/>
      <c r="Q45" s="145" t="n">
        <v>2000</v>
      </c>
      <c r="R45" s="145" t="n"/>
      <c r="S45" s="145" t="n"/>
      <c r="T45" s="145" t="n"/>
      <c r="U45" s="145" t="n"/>
      <c r="V45" s="145" t="n"/>
      <c r="W45" s="145" t="n"/>
      <c r="X45" s="145" t="n"/>
      <c r="Y45" s="145" t="n"/>
      <c r="Z45" s="145" t="n"/>
      <c r="AA45" s="145" t="n"/>
      <c r="AB45" s="145" t="n"/>
      <c r="AC45" s="145" t="n"/>
      <c r="AD45" s="145" t="n"/>
      <c r="AE45" s="145" t="n"/>
      <c r="AF45" s="145" t="n"/>
      <c r="AG45" s="145" t="n"/>
      <c r="AH45" s="145" t="n"/>
      <c r="AI45" s="145" t="n"/>
      <c r="AJ45" s="145" t="n"/>
      <c r="AK45" s="145" t="n"/>
      <c r="AL45" s="146">
        <f>SUM(G45:AK45)</f>
        <v/>
      </c>
      <c r="AM45" s="11" t="n"/>
      <c r="AN45" s="147" t="inlineStr">
        <is>
          <t>Tồn PO
注文の 残量</t>
        </is>
      </c>
      <c r="AO45" s="148">
        <f>AL45</f>
        <v/>
      </c>
    </row>
    <row r="46" ht="63" customHeight="1" s="127">
      <c r="A46" s="134" t="n"/>
      <c r="B46" s="111" t="inlineStr">
        <is>
          <t xml:space="preserve">計画数量
kế hoạch </t>
        </is>
      </c>
      <c r="C46" s="149" t="n"/>
      <c r="D46" s="149" t="n"/>
      <c r="E46" s="149" t="n"/>
      <c r="F46" s="150" t="n"/>
      <c r="G46" s="144" t="n">
        <v>2000</v>
      </c>
      <c r="H46" s="144" t="n"/>
      <c r="I46" s="144" t="n"/>
      <c r="J46" s="145" t="n"/>
      <c r="K46" s="145" t="n"/>
      <c r="L46" s="145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5" t="n"/>
      <c r="W46" s="145" t="n"/>
      <c r="X46" s="145" t="n"/>
      <c r="Y46" s="145" t="n"/>
      <c r="Z46" s="145" t="n"/>
      <c r="AA46" s="145" t="n"/>
      <c r="AB46" s="145" t="n"/>
      <c r="AC46" s="145" t="n"/>
      <c r="AD46" s="145" t="n"/>
      <c r="AE46" s="145" t="n"/>
      <c r="AF46" s="145" t="n"/>
      <c r="AG46" s="145" t="n"/>
      <c r="AH46" s="145" t="n"/>
      <c r="AI46" s="145" t="n"/>
      <c r="AJ46" s="145" t="n"/>
      <c r="AK46" s="145" t="n"/>
      <c r="AL46" s="151">
        <f>SUM(G46:AK46)</f>
        <v/>
      </c>
      <c r="AM46" s="0" t="n"/>
      <c r="AN46" s="24" t="inlineStr">
        <is>
          <t>Tổng nhập 総入荷数量
（A)-(B)+(C)</t>
        </is>
      </c>
      <c r="AO46" s="152">
        <f>AL47-AL48+AL49</f>
        <v/>
      </c>
    </row>
    <row r="47" ht="105" customHeight="1" s="127">
      <c r="A47" s="134" t="n"/>
      <c r="B47" s="111" t="inlineStr">
        <is>
          <t>実際の納品数量
số lượng thực nhập</t>
        </is>
      </c>
      <c r="C47" s="149" t="n"/>
      <c r="D47" s="149" t="n"/>
      <c r="E47" s="149" t="n"/>
      <c r="F47" s="150" t="n"/>
      <c r="G47" s="153" t="n"/>
      <c r="H47" s="153" t="n"/>
      <c r="I47" s="154" t="n"/>
      <c r="J47" s="145" t="n"/>
      <c r="K47" s="156" t="n"/>
      <c r="L47" s="156" t="n"/>
      <c r="M47" s="155" t="n"/>
      <c r="N47" s="155" t="n"/>
      <c r="O47" s="155" t="n"/>
      <c r="P47" s="155" t="n"/>
      <c r="Q47" s="156" t="n"/>
      <c r="R47" s="156" t="n"/>
      <c r="S47" s="156" t="n"/>
      <c r="T47" s="156" t="n"/>
      <c r="U47" s="156" t="n"/>
      <c r="V47" s="156" t="n"/>
      <c r="W47" s="156" t="n"/>
      <c r="X47" s="156" t="n"/>
      <c r="Y47" s="156" t="n"/>
      <c r="Z47" s="156" t="n"/>
      <c r="AA47" s="156" t="n"/>
      <c r="AB47" s="156" t="n"/>
      <c r="AC47" s="155" t="n"/>
      <c r="AD47" s="155" t="n"/>
      <c r="AE47" s="156" t="n"/>
      <c r="AF47" s="156" t="n"/>
      <c r="AG47" s="155" t="n"/>
      <c r="AH47" s="155" t="n"/>
      <c r="AI47" s="156" t="n"/>
      <c r="AJ47" s="156" t="n"/>
      <c r="AK47" s="156" t="n"/>
      <c r="AL47" s="157">
        <f>SUM(G47:AK47)</f>
        <v/>
      </c>
      <c r="AM47" s="6" t="inlineStr">
        <is>
          <t>(A)</t>
        </is>
      </c>
      <c r="AN47" s="24" t="inlineStr">
        <is>
          <t>Số lượng chưa khai tháng trước 先月まだ税関に申告されていない数量</t>
        </is>
      </c>
      <c r="AO47" s="148">
        <f>AO40</f>
        <v/>
      </c>
    </row>
    <row r="48" ht="84" customHeight="1" s="127">
      <c r="A48" s="134" t="n"/>
      <c r="B48" s="111" t="inlineStr">
        <is>
          <t>NG数量（DO SUNG 社変更済）
số lượng NG (Trả hàng DO SUNG)</t>
        </is>
      </c>
      <c r="C48" s="149" t="n"/>
      <c r="D48" s="149" t="n"/>
      <c r="E48" s="149" t="n"/>
      <c r="F48" s="150" t="n"/>
      <c r="G48" s="144" t="n"/>
      <c r="H48" s="144" t="n"/>
      <c r="I48" s="144" t="n"/>
      <c r="J48" s="145" t="n"/>
      <c r="K48" s="145" t="n"/>
      <c r="L48" s="145" t="n"/>
      <c r="M48" s="145" t="n"/>
      <c r="N48" s="145" t="n"/>
      <c r="O48" s="145" t="n"/>
      <c r="P48" s="145" t="n"/>
      <c r="Q48" s="145" t="n"/>
      <c r="R48" s="145" t="n"/>
      <c r="S48" s="145" t="n"/>
      <c r="T48" s="145" t="n"/>
      <c r="U48" s="145" t="n"/>
      <c r="V48" s="145" t="n"/>
      <c r="W48" s="145" t="n"/>
      <c r="X48" s="145" t="n"/>
      <c r="Y48" s="145" t="n"/>
      <c r="Z48" s="145" t="n"/>
      <c r="AA48" s="145" t="n"/>
      <c r="AB48" s="145" t="n"/>
      <c r="AC48" s="145" t="n"/>
      <c r="AD48" s="145" t="n"/>
      <c r="AE48" s="145" t="n"/>
      <c r="AF48" s="145" t="n"/>
      <c r="AG48" s="145" t="n"/>
      <c r="AH48" s="145" t="n"/>
      <c r="AI48" s="145" t="n"/>
      <c r="AJ48" s="145" t="n"/>
      <c r="AK48" s="145" t="n"/>
      <c r="AL48" s="158">
        <f>SUM(G48:AK48)</f>
        <v/>
      </c>
      <c r="AM48" s="6" t="inlineStr">
        <is>
          <t>(B)</t>
        </is>
      </c>
      <c r="AN48" s="24" t="inlineStr">
        <is>
          <t>Số lượng đã khai tháng này 今月税関に申告された数量</t>
        </is>
      </c>
      <c r="AO48" s="26" t="n"/>
    </row>
    <row r="49" ht="105.75" customHeight="1" s="127" thickBot="1">
      <c r="A49" s="159" t="n"/>
      <c r="B49" s="109" t="inlineStr">
        <is>
          <t>NG数量（ドンスン　社しゅり済）
số lượng NG (DO SUNG đã sửa )</t>
        </is>
      </c>
      <c r="C49" s="160" t="n"/>
      <c r="D49" s="160" t="n"/>
      <c r="E49" s="160" t="n"/>
      <c r="F49" s="161" t="n"/>
      <c r="G49" s="162" t="n"/>
      <c r="H49" s="162" t="n"/>
      <c r="I49" s="163" t="n"/>
      <c r="J49" s="164" t="n"/>
      <c r="K49" s="165" t="n"/>
      <c r="L49" s="164" t="n"/>
      <c r="M49" s="164" t="n"/>
      <c r="N49" s="164" t="n"/>
      <c r="O49" s="164" t="n"/>
      <c r="P49" s="164" t="n"/>
      <c r="Q49" s="164" t="n"/>
      <c r="R49" s="165" t="n"/>
      <c r="S49" s="164" t="n"/>
      <c r="T49" s="164" t="n"/>
      <c r="U49" s="164" t="n"/>
      <c r="V49" s="164" t="n"/>
      <c r="W49" s="164" t="n"/>
      <c r="X49" s="164" t="n"/>
      <c r="Y49" s="165" t="n"/>
      <c r="Z49" s="164" t="n"/>
      <c r="AA49" s="164" t="n"/>
      <c r="AB49" s="164" t="n"/>
      <c r="AC49" s="164" t="n"/>
      <c r="AD49" s="164" t="n"/>
      <c r="AE49" s="165" t="n"/>
      <c r="AF49" s="165" t="n"/>
      <c r="AG49" s="164" t="n"/>
      <c r="AH49" s="164" t="n"/>
      <c r="AI49" s="164" t="n"/>
      <c r="AJ49" s="165" t="n"/>
      <c r="AK49" s="165" t="n"/>
      <c r="AL49" s="166">
        <f>SUM(G49:AK49)</f>
        <v/>
      </c>
      <c r="AM49" s="6" t="inlineStr">
        <is>
          <t>(C)</t>
        </is>
      </c>
      <c r="AN49" s="24" t="inlineStr">
        <is>
          <t>Số lượng còn lại chưa khai 残りの数量はまだ税関に申告されていません</t>
        </is>
      </c>
      <c r="AO49" s="148">
        <f>AO47+AO46-AO48</f>
        <v/>
      </c>
    </row>
  </sheetData>
  <mergeCells count="57">
    <mergeCell ref="AG4:AK4"/>
    <mergeCell ref="B47:F47"/>
    <mergeCell ref="B15:C16"/>
    <mergeCell ref="B6:C7"/>
    <mergeCell ref="B46:F46"/>
    <mergeCell ref="B24:C25"/>
    <mergeCell ref="D7:F7"/>
    <mergeCell ref="B18:F18"/>
    <mergeCell ref="D16:F16"/>
    <mergeCell ref="B27:F27"/>
    <mergeCell ref="D43:F43"/>
    <mergeCell ref="B21:F21"/>
    <mergeCell ref="B12:F12"/>
    <mergeCell ref="B39:F39"/>
    <mergeCell ref="B48:F48"/>
    <mergeCell ref="B33:C34"/>
    <mergeCell ref="B11:F11"/>
    <mergeCell ref="A33:A39"/>
    <mergeCell ref="B42:C42"/>
    <mergeCell ref="B23:C23"/>
    <mergeCell ref="B14:C14"/>
    <mergeCell ref="B8:F8"/>
    <mergeCell ref="D25:F25"/>
    <mergeCell ref="D15:F15"/>
    <mergeCell ref="B17:F17"/>
    <mergeCell ref="A15:A21"/>
    <mergeCell ref="AL24:AL25"/>
    <mergeCell ref="D24:F24"/>
    <mergeCell ref="D33:F33"/>
    <mergeCell ref="A43:A49"/>
    <mergeCell ref="B29:F29"/>
    <mergeCell ref="AL43:AL44"/>
    <mergeCell ref="B38:F38"/>
    <mergeCell ref="B10:F10"/>
    <mergeCell ref="B28:F28"/>
    <mergeCell ref="B19:F19"/>
    <mergeCell ref="B37:F37"/>
    <mergeCell ref="A24:A30"/>
    <mergeCell ref="B1:AM3"/>
    <mergeCell ref="D44:F44"/>
    <mergeCell ref="AL33:AL34"/>
    <mergeCell ref="B9:F9"/>
    <mergeCell ref="D34:F34"/>
    <mergeCell ref="B49:F49"/>
    <mergeCell ref="B43:C44"/>
    <mergeCell ref="B30:F30"/>
    <mergeCell ref="B20:F20"/>
    <mergeCell ref="B5:C5"/>
    <mergeCell ref="B45:F45"/>
    <mergeCell ref="B32:C32"/>
    <mergeCell ref="A6:A12"/>
    <mergeCell ref="AL15:AL16"/>
    <mergeCell ref="B36:F36"/>
    <mergeCell ref="AL6:AL7"/>
    <mergeCell ref="D6:F6"/>
    <mergeCell ref="B26:F26"/>
    <mergeCell ref="B35:F35"/>
  </mergeCells>
  <conditionalFormatting sqref="G6:AK7">
    <cfRule type="expression" priority="19" dxfId="1" stopIfTrue="1">
      <formula>WEEKDAY(G6)=7</formula>
    </cfRule>
    <cfRule type="expression" priority="20" dxfId="0" stopIfTrue="1">
      <formula>WEEKDAY(G6)=1</formula>
    </cfRule>
  </conditionalFormatting>
  <conditionalFormatting sqref="G15:AK16">
    <cfRule type="expression" priority="15" dxfId="1" stopIfTrue="1">
      <formula>WEEKDAY(G15)=7</formula>
    </cfRule>
    <cfRule type="expression" priority="16" dxfId="0" stopIfTrue="1">
      <formula>WEEKDAY(G15)=1</formula>
    </cfRule>
  </conditionalFormatting>
  <conditionalFormatting sqref="G24:AK25">
    <cfRule type="expression" priority="11" dxfId="1" stopIfTrue="1">
      <formula>WEEKDAY(G24)=7</formula>
    </cfRule>
    <cfRule type="expression" priority="12" dxfId="0" stopIfTrue="1">
      <formula>WEEKDAY(G24)=1</formula>
    </cfRule>
  </conditionalFormatting>
  <conditionalFormatting sqref="G33:AK34">
    <cfRule type="expression" priority="7" dxfId="1" stopIfTrue="1">
      <formula>WEEKDAY(G33)=7</formula>
    </cfRule>
    <cfRule type="expression" priority="8" dxfId="0" stopIfTrue="1">
      <formula>WEEKDAY(G33)=1</formula>
    </cfRule>
  </conditionalFormatting>
  <conditionalFormatting sqref="G43:AK44">
    <cfRule type="expression" priority="3" dxfId="1" stopIfTrue="1">
      <formula>WEEKDAY(G43)=7</formula>
    </cfRule>
    <cfRule type="expression" priority="4" dxfId="0" stopIfTrue="1">
      <formula>WEEKDAY(G43)=1</formula>
    </cfRule>
  </conditionalFormatting>
  <conditionalFormatting sqref="AL6">
    <cfRule type="expression" priority="17" dxfId="1" stopIfTrue="1">
      <formula>WEEKDAY(AL6)=7</formula>
    </cfRule>
    <cfRule type="expression" priority="18" dxfId="0" stopIfTrue="1">
      <formula>WEEKDAY(AL6)=1</formula>
    </cfRule>
  </conditionalFormatting>
  <conditionalFormatting sqref="AL15">
    <cfRule type="expression" priority="13" dxfId="1" stopIfTrue="1">
      <formula>WEEKDAY(AL15)=7</formula>
    </cfRule>
    <cfRule type="expression" priority="14" dxfId="0" stopIfTrue="1">
      <formula>WEEKDAY(AL15)=1</formula>
    </cfRule>
  </conditionalFormatting>
  <conditionalFormatting sqref="AL24">
    <cfRule type="expression" priority="9" dxfId="1" stopIfTrue="1">
      <formula>WEEKDAY(AL24)=7</formula>
    </cfRule>
    <cfRule type="expression" priority="10" dxfId="0" stopIfTrue="1">
      <formula>WEEKDAY(AL24)=1</formula>
    </cfRule>
  </conditionalFormatting>
  <conditionalFormatting sqref="AL33">
    <cfRule type="expression" priority="5" dxfId="1" stopIfTrue="1">
      <formula>WEEKDAY(AL33)=7</formula>
    </cfRule>
    <cfRule type="expression" priority="6" dxfId="0" stopIfTrue="1">
      <formula>WEEKDAY(AL33)=1</formula>
    </cfRule>
  </conditionalFormatting>
  <conditionalFormatting sqref="AL43">
    <cfRule type="expression" priority="1" dxfId="1" stopIfTrue="1">
      <formula>WEEKDAY(AL43)=7</formula>
    </cfRule>
    <cfRule type="expression" priority="2" dxfId="0" stopIfTrue="1">
      <formula>WEEKDAY(AL43)=1</formula>
    </cfRule>
  </conditionalFormatting>
  <printOptions horizontalCentered="1"/>
  <pageMargins left="0.17" right="0.17" top="0.17" bottom="0.17" header="0.17" footer="0.17"/>
  <pageSetup orientation="landscape" paperSize="9" scale="24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A43"/>
  <sheetViews>
    <sheetView topLeftCell="A7" zoomScale="85" zoomScaleNormal="85" workbookViewId="0">
      <selection activeCell="E38" sqref="E38"/>
    </sheetView>
  </sheetViews>
  <sheetFormatPr baseColWidth="8" defaultColWidth="9.140625" defaultRowHeight="15"/>
  <cols>
    <col width="9.140625" customWidth="1" style="38" min="1" max="1"/>
    <col width="11.28515625" customWidth="1" style="37" min="2" max="2"/>
    <col width="16.7109375" customWidth="1" style="38" min="3" max="4"/>
    <col width="20.7109375" customWidth="1" style="38" min="5" max="5"/>
    <col hidden="1" width="16.7109375" customWidth="1" style="38" min="6" max="7"/>
    <col hidden="1" width="20.7109375" customWidth="1" style="38" min="8" max="8"/>
    <col hidden="1" width="10.7109375" customWidth="1" style="38" min="9" max="9"/>
    <col hidden="1" width="12.5703125" customWidth="1" style="38" min="10" max="10"/>
    <col hidden="1" width="8.85546875" customWidth="1" style="38" min="11" max="11"/>
    <col width="4.28515625" customWidth="1" style="38" min="12" max="12"/>
    <col width="15.5703125" bestFit="1" customWidth="1" style="38" min="13" max="13"/>
    <col width="10.7109375" customWidth="1" style="38" min="14" max="14"/>
    <col width="1.85546875" customWidth="1" style="38" min="15" max="15"/>
    <col hidden="1" width="15.5703125" customWidth="1" style="38" min="16" max="16"/>
    <col hidden="1" style="38" min="17" max="17"/>
    <col hidden="1" width="1.85546875" customWidth="1" style="38" min="18" max="18"/>
    <col hidden="1" width="15.5703125" customWidth="1" style="38" min="19" max="19"/>
    <col hidden="1" width="9.140625" customWidth="1" style="38" min="20" max="20"/>
    <col width="9.140625" customWidth="1" style="38" min="21" max="24"/>
    <col width="20.85546875" customWidth="1" style="38" min="25" max="25"/>
    <col width="11.85546875" customWidth="1" style="38" min="26" max="27"/>
    <col width="9.140625" customWidth="1" style="38" min="28" max="16384"/>
  </cols>
  <sheetData>
    <row r="1" ht="30" customHeight="1" s="127">
      <c r="M1" s="176" t="inlineStr">
        <is>
          <t>PAR-011</t>
        </is>
      </c>
      <c r="N1" s="150" t="n"/>
      <c r="P1" s="177" t="inlineStr">
        <is>
          <t>mda0010 
Woodone</t>
        </is>
      </c>
      <c r="Q1" s="150" t="n"/>
      <c r="S1" s="177" t="inlineStr">
        <is>
          <t>mda0016
Tay cầm hình vuông 320</t>
        </is>
      </c>
      <c r="T1" s="150" t="n"/>
    </row>
    <row r="2" ht="30" customHeight="1" s="127">
      <c r="B2" s="178" t="inlineStr">
        <is>
          <t>Tháng</t>
        </is>
      </c>
      <c r="C2" s="119" t="inlineStr">
        <is>
          <t>PAR-011</t>
        </is>
      </c>
      <c r="D2" s="137" t="n"/>
      <c r="E2" s="138" t="n"/>
      <c r="F2" s="119" t="inlineStr">
        <is>
          <t>mda0010 Woodone</t>
        </is>
      </c>
      <c r="G2" s="137" t="n"/>
      <c r="H2" s="138" t="n"/>
      <c r="I2" s="125" t="inlineStr">
        <is>
          <t>mda0016
Tay cầm hình vuông 320</t>
        </is>
      </c>
      <c r="J2" s="137" t="n"/>
      <c r="K2" s="138" t="n"/>
      <c r="M2" s="55" t="inlineStr">
        <is>
          <t>Số Po
注文書番号</t>
        </is>
      </c>
      <c r="N2" s="55" t="inlineStr">
        <is>
          <t>Số lượng
数量</t>
        </is>
      </c>
      <c r="O2" s="56" t="n"/>
      <c r="P2" s="55" t="inlineStr">
        <is>
          <t>Số Po
注文書番号</t>
        </is>
      </c>
      <c r="Q2" s="55" t="inlineStr">
        <is>
          <t>Số lượng
数量</t>
        </is>
      </c>
      <c r="S2" s="39" t="inlineStr">
        <is>
          <t>Số Po</t>
        </is>
      </c>
      <c r="T2" s="39" t="inlineStr">
        <is>
          <t>Số lượng</t>
        </is>
      </c>
    </row>
    <row r="3" ht="60" customHeight="1" s="127">
      <c r="B3" s="179" t="n"/>
      <c r="C3" s="40" t="inlineStr">
        <is>
          <t>Số lượng ok giao
総入荷数量</t>
        </is>
      </c>
      <c r="D3" s="54" t="inlineStr">
        <is>
          <t>Số lượng đã lên chứng từ 今月税関に申告された数量</t>
        </is>
      </c>
      <c r="E3" s="40" t="inlineStr">
        <is>
          <t>Số lượng chưa lên chứng từ 残りの数量はまだ税関に申告されていません</t>
        </is>
      </c>
      <c r="F3" s="40" t="inlineStr">
        <is>
          <t>Số lượng ok giao
総入荷数量</t>
        </is>
      </c>
      <c r="G3" s="54" t="inlineStr">
        <is>
          <t>Số lượng đã lên chứng từ 今月税関に申告された数量</t>
        </is>
      </c>
      <c r="H3" s="40" t="inlineStr">
        <is>
          <t>Số lượng chưa lên chứng từ 残りの数量はまだ税関に申告されていません</t>
        </is>
      </c>
      <c r="I3" s="40" t="inlineStr">
        <is>
          <t>Số lượng ok giao</t>
        </is>
      </c>
      <c r="J3" s="40" t="inlineStr">
        <is>
          <t>Số lượng đã lên chứng từ</t>
        </is>
      </c>
      <c r="K3" s="40" t="inlineStr">
        <is>
          <t>Số lượng chưa lên chứng từ</t>
        </is>
      </c>
      <c r="M3" s="81" t="inlineStr">
        <is>
          <t>240801-02</t>
        </is>
      </c>
      <c r="N3" s="41" t="n">
        <v>50000</v>
      </c>
      <c r="O3" s="42" t="n"/>
      <c r="P3" s="39" t="inlineStr">
        <is>
          <t>251107-02</t>
        </is>
      </c>
      <c r="Q3" s="41" t="n">
        <v>40000</v>
      </c>
      <c r="R3" s="42" t="n"/>
      <c r="S3" s="39" t="inlineStr">
        <is>
          <t>251126-01</t>
        </is>
      </c>
      <c r="T3" s="41" t="n">
        <v>1000</v>
      </c>
    </row>
    <row r="4">
      <c r="B4" s="43" t="n">
        <v>2025.08</v>
      </c>
      <c r="C4" s="41" t="n">
        <v>25799</v>
      </c>
      <c r="D4" s="41" t="n">
        <v>24830</v>
      </c>
      <c r="E4" s="41" t="n">
        <v>969</v>
      </c>
      <c r="F4" s="41" t="n"/>
      <c r="G4" s="41" t="n"/>
      <c r="H4" s="41" t="n"/>
      <c r="I4" s="41" t="n"/>
      <c r="J4" s="41" t="n"/>
      <c r="K4" s="41" t="n"/>
      <c r="M4" s="81" t="inlineStr">
        <is>
          <t>251121-03</t>
        </is>
      </c>
      <c r="N4" s="41" t="n">
        <v>30000</v>
      </c>
      <c r="P4" s="39" t="n"/>
      <c r="Q4" s="41" t="n"/>
      <c r="S4" s="39" t="n"/>
      <c r="T4" s="41" t="n"/>
      <c r="U4" s="42">
        <f>N3+N4-5000</f>
        <v/>
      </c>
    </row>
    <row r="5">
      <c r="B5" s="43" t="n">
        <v>2025.09</v>
      </c>
      <c r="C5" s="41" t="n">
        <v>24201</v>
      </c>
      <c r="D5" s="41" t="n">
        <v>25170</v>
      </c>
      <c r="E5" s="41" t="n">
        <v>0</v>
      </c>
      <c r="F5" s="41" t="n"/>
      <c r="G5" s="41" t="n"/>
      <c r="H5" s="41" t="n"/>
      <c r="I5" s="41" t="n"/>
      <c r="J5" s="41" t="n"/>
      <c r="K5" s="41" t="n"/>
      <c r="M5" s="81" t="inlineStr">
        <is>
          <t>260102-08</t>
        </is>
      </c>
      <c r="N5" s="41" t="n">
        <v>25000</v>
      </c>
      <c r="P5" s="39" t="n"/>
      <c r="Q5" s="41" t="n"/>
      <c r="S5" s="39" t="n"/>
      <c r="T5" s="41" t="n"/>
    </row>
    <row r="6">
      <c r="B6" s="44" t="inlineStr">
        <is>
          <t>2025.10</t>
        </is>
      </c>
      <c r="C6" s="41" t="n">
        <v>-5004</v>
      </c>
      <c r="D6" s="41" t="n">
        <v>0</v>
      </c>
      <c r="E6" s="41" t="n">
        <v>-5004</v>
      </c>
      <c r="F6" s="41" t="n"/>
      <c r="G6" s="41" t="n"/>
      <c r="H6" s="41" t="n"/>
      <c r="I6" s="41" t="n"/>
      <c r="J6" s="41" t="n"/>
      <c r="K6" s="41" t="n"/>
      <c r="M6" s="82" t="inlineStr">
        <is>
          <t>260223-01</t>
        </is>
      </c>
      <c r="N6" s="41" t="n">
        <v>15000</v>
      </c>
      <c r="P6" s="39" t="n"/>
      <c r="Q6" s="41" t="n"/>
      <c r="S6" s="39" t="n"/>
      <c r="T6" s="41" t="n"/>
    </row>
    <row r="7">
      <c r="B7" s="44" t="inlineStr">
        <is>
          <t>2025.11</t>
        </is>
      </c>
      <c r="C7" s="41" t="n">
        <v>900</v>
      </c>
      <c r="D7" s="41" t="n">
        <v>0</v>
      </c>
      <c r="E7" s="41" t="n">
        <v>-4104</v>
      </c>
      <c r="F7" s="41" t="n">
        <v>2263</v>
      </c>
      <c r="G7" s="41" t="n">
        <v>0</v>
      </c>
      <c r="H7" s="41" t="n">
        <v>2263</v>
      </c>
      <c r="I7" s="41" t="n">
        <v>1000</v>
      </c>
      <c r="J7" s="41" t="n">
        <v>1000</v>
      </c>
      <c r="K7" s="41" t="n">
        <v>0</v>
      </c>
      <c r="M7" s="82" t="inlineStr">
        <is>
          <t>260319-01-1</t>
        </is>
      </c>
      <c r="N7" s="41" t="n">
        <v>30000</v>
      </c>
      <c r="P7" s="39" t="n"/>
      <c r="Q7" s="41" t="n"/>
      <c r="S7" s="39" t="n"/>
      <c r="T7" s="41" t="n"/>
    </row>
    <row r="8">
      <c r="B8" s="44" t="inlineStr">
        <is>
          <t>2025.12</t>
        </is>
      </c>
      <c r="C8" s="41" t="n">
        <v>14491</v>
      </c>
      <c r="D8" s="41" t="n">
        <v>6970</v>
      </c>
      <c r="E8" s="41" t="n">
        <v>3515</v>
      </c>
      <c r="F8" s="41" t="n">
        <v>10431</v>
      </c>
      <c r="G8" s="41" t="n">
        <v>11082</v>
      </c>
      <c r="H8" s="41" t="n">
        <v>1612</v>
      </c>
      <c r="I8" s="41" t="n">
        <v>0</v>
      </c>
      <c r="J8" s="41" t="n">
        <v>0</v>
      </c>
      <c r="K8" s="41" t="n">
        <v>0</v>
      </c>
      <c r="M8" s="82" t="inlineStr">
        <is>
          <t>260328-01-01</t>
        </is>
      </c>
      <c r="N8" s="41" t="n">
        <v>70000</v>
      </c>
      <c r="P8" s="39" t="n"/>
      <c r="Q8" s="41" t="n"/>
      <c r="S8" s="39" t="n"/>
      <c r="T8" s="41" t="n"/>
    </row>
    <row r="9">
      <c r="B9" s="44" t="n">
        <v>2026.01</v>
      </c>
      <c r="C9" s="41">
        <f>'PAR-011'!AO9</f>
        <v/>
      </c>
      <c r="D9" s="46">
        <f>'PAR-011'!AO11</f>
        <v/>
      </c>
      <c r="E9" s="41">
        <f>'PAR-011'!AO12</f>
        <v/>
      </c>
      <c r="F9" s="41">
        <f>Woodone!AO9</f>
        <v/>
      </c>
      <c r="G9" s="41">
        <f>Woodone!AO11</f>
        <v/>
      </c>
      <c r="H9" s="41">
        <f>Woodone!AO12</f>
        <v/>
      </c>
      <c r="I9" s="41" t="n"/>
      <c r="J9" s="41" t="n"/>
      <c r="K9" s="41" t="n"/>
      <c r="M9" s="83" t="inlineStr">
        <is>
          <t>260416-01-1</t>
        </is>
      </c>
      <c r="N9" s="84" t="n">
        <v>90000</v>
      </c>
      <c r="P9" s="39" t="n"/>
      <c r="Q9" s="41" t="n"/>
      <c r="S9" s="39" t="n"/>
      <c r="T9" s="41" t="n"/>
    </row>
    <row r="10">
      <c r="B10" s="44" t="n">
        <v>2026.02</v>
      </c>
      <c r="C10" s="41">
        <f>'PAR-011'!AO18</f>
        <v/>
      </c>
      <c r="D10" s="41">
        <f>'PAR-011'!AO20</f>
        <v/>
      </c>
      <c r="E10" s="41">
        <f>'PAR-011'!AO21</f>
        <v/>
      </c>
      <c r="F10" s="41">
        <f>Woodone!AO18</f>
        <v/>
      </c>
      <c r="G10" s="41">
        <f>Woodone!AO20</f>
        <v/>
      </c>
      <c r="H10" s="41">
        <f>Woodone!AO21</f>
        <v/>
      </c>
      <c r="I10" s="41" t="n"/>
      <c r="J10" s="41" t="n"/>
      <c r="K10" s="41" t="n"/>
      <c r="M10" s="39" t="n"/>
      <c r="N10" s="41" t="n"/>
      <c r="P10" s="39" t="n"/>
      <c r="Q10" s="41" t="n"/>
      <c r="S10" s="39" t="n"/>
      <c r="T10" s="41" t="n"/>
    </row>
    <row r="11">
      <c r="B11" s="44" t="n">
        <v>2026.03</v>
      </c>
      <c r="C11" s="41">
        <f>'PAR-011'!AO27</f>
        <v/>
      </c>
      <c r="D11" s="41">
        <f>'PAR-011'!AO29</f>
        <v/>
      </c>
      <c r="E11" s="41">
        <f>'PAR-011'!AO30</f>
        <v/>
      </c>
      <c r="F11" s="41" t="n"/>
      <c r="G11" s="41" t="n"/>
      <c r="H11" s="41" t="n"/>
      <c r="I11" s="41" t="n"/>
      <c r="J11" s="41" t="n"/>
      <c r="K11" s="41" t="n"/>
      <c r="M11" s="39" t="n"/>
      <c r="N11" s="41" t="n"/>
      <c r="P11" s="39" t="n"/>
      <c r="Q11" s="41" t="n"/>
      <c r="S11" s="39" t="n"/>
      <c r="T11" s="41" t="n"/>
    </row>
    <row r="12">
      <c r="B12" s="44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M12" s="39" t="n"/>
      <c r="N12" s="41" t="n"/>
      <c r="P12" s="39" t="n"/>
      <c r="Q12" s="41" t="n"/>
      <c r="S12" s="39" t="n"/>
      <c r="T12" s="41" t="n"/>
    </row>
    <row r="13">
      <c r="B13" s="43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M13" s="45" t="inlineStr">
        <is>
          <t>Tổng PO</t>
        </is>
      </c>
      <c r="N13" s="46">
        <f>SUM(N3:N11)</f>
        <v/>
      </c>
      <c r="P13" s="45" t="inlineStr">
        <is>
          <t>Tổng PO</t>
        </is>
      </c>
      <c r="Q13" s="46">
        <f>SUM(Q3:Q11)</f>
        <v/>
      </c>
      <c r="S13" s="45" t="inlineStr">
        <is>
          <t>Tổng PO</t>
        </is>
      </c>
      <c r="T13" s="46">
        <f>SUM(T3:T10)</f>
        <v/>
      </c>
    </row>
    <row r="14" ht="19.9" customHeight="1" s="127">
      <c r="B14" s="47" t="inlineStr">
        <is>
          <t>Total</t>
        </is>
      </c>
      <c r="C14" s="180">
        <f>SUM(C4:C13)</f>
        <v/>
      </c>
      <c r="D14" s="180">
        <f>SUM(D4:D13)</f>
        <v/>
      </c>
      <c r="E14" s="181">
        <f>C14-D14</f>
        <v/>
      </c>
      <c r="F14" s="180">
        <f>SUM(F4:F13)</f>
        <v/>
      </c>
      <c r="G14" s="180">
        <f>SUM(G4:G13)</f>
        <v/>
      </c>
      <c r="H14" s="181">
        <f>F14-G14</f>
        <v/>
      </c>
      <c r="I14" s="180">
        <f>SUM(I4:I13)</f>
        <v/>
      </c>
      <c r="J14" s="180">
        <f>SUM(J4:J13)</f>
        <v/>
      </c>
      <c r="K14" s="181">
        <f>I14-J14</f>
        <v/>
      </c>
      <c r="M14" s="45" t="inlineStr">
        <is>
          <t>Đã giao</t>
        </is>
      </c>
      <c r="N14" s="46">
        <f>C42</f>
        <v/>
      </c>
      <c r="P14" s="45" t="inlineStr">
        <is>
          <t>Đã giao</t>
        </is>
      </c>
      <c r="Q14" s="46">
        <f>F14</f>
        <v/>
      </c>
      <c r="S14" s="45" t="inlineStr">
        <is>
          <t>Đã giao</t>
        </is>
      </c>
      <c r="T14" s="46">
        <f>I14</f>
        <v/>
      </c>
    </row>
    <row r="15" ht="21.75" customFormat="1" customHeight="1" s="51">
      <c r="B15" s="50" t="inlineStr">
        <is>
          <t>Số Shots</t>
        </is>
      </c>
      <c r="C15" s="182">
        <f>C14/4</f>
        <v/>
      </c>
      <c r="D15" s="149" t="n"/>
      <c r="E15" s="150" t="n"/>
      <c r="F15" s="182">
        <f>F14/4</f>
        <v/>
      </c>
      <c r="G15" s="149" t="n"/>
      <c r="H15" s="150" t="n"/>
      <c r="I15" s="182">
        <f>I14/4</f>
        <v/>
      </c>
      <c r="J15" s="149" t="n"/>
      <c r="K15" s="150" t="n"/>
      <c r="M15" s="52" t="inlineStr">
        <is>
          <t>Tồn PO</t>
        </is>
      </c>
      <c r="N15" s="53">
        <f>N13-N14</f>
        <v/>
      </c>
      <c r="P15" s="52" t="inlineStr">
        <is>
          <t>Tồn PO</t>
        </is>
      </c>
      <c r="Q15" s="53">
        <f>Q13-Q14</f>
        <v/>
      </c>
      <c r="S15" s="52" t="inlineStr">
        <is>
          <t>Tồn PO</t>
        </is>
      </c>
      <c r="T15" s="53">
        <f>T13-T14</f>
        <v/>
      </c>
    </row>
    <row r="17">
      <c r="N17" s="42" t="n"/>
    </row>
    <row r="18">
      <c r="C18" s="42">
        <f>SUM(C4:C8)</f>
        <v/>
      </c>
      <c r="N18" s="42" t="n"/>
    </row>
    <row r="19">
      <c r="C19" s="42">
        <f>U4-C18</f>
        <v/>
      </c>
      <c r="N19" s="42" t="n"/>
    </row>
    <row r="23" ht="23.25" customHeight="1" s="127">
      <c r="B23" s="178" t="inlineStr">
        <is>
          <t>Tháng</t>
        </is>
      </c>
      <c r="C23" s="119" t="inlineStr">
        <is>
          <t>PAR-011</t>
        </is>
      </c>
      <c r="D23" s="137" t="n"/>
      <c r="E23" s="138" t="n"/>
    </row>
    <row r="24" ht="75" customHeight="1" s="127">
      <c r="B24" s="179" t="n"/>
      <c r="C24" s="40" t="inlineStr">
        <is>
          <t>Số lượng ok giao
総入荷数量</t>
        </is>
      </c>
      <c r="D24" s="54" t="inlineStr">
        <is>
          <t>Số lượng đã lên chứng từ 今月税関に申告された数量</t>
        </is>
      </c>
      <c r="E24" s="40" t="inlineStr">
        <is>
          <t>Số lượng chưa lên chứng từ 残りの数量はまだ税関に申告されていません</t>
        </is>
      </c>
    </row>
    <row r="25">
      <c r="B25" s="43" t="n">
        <v>2025.08</v>
      </c>
      <c r="C25" s="41" t="n"/>
      <c r="D25" s="41" t="n"/>
      <c r="E25" s="41" t="n"/>
    </row>
    <row r="26">
      <c r="B26" s="43" t="n">
        <v>2025.09</v>
      </c>
      <c r="C26" s="41" t="n"/>
      <c r="D26" s="41" t="n"/>
      <c r="E26" s="41" t="n"/>
    </row>
    <row r="27">
      <c r="B27" s="44" t="inlineStr">
        <is>
          <t>2025.10</t>
        </is>
      </c>
      <c r="C27" s="41" t="n"/>
      <c r="D27" s="41" t="n"/>
      <c r="E27" s="41" t="n"/>
    </row>
    <row r="28">
      <c r="B28" s="44" t="inlineStr">
        <is>
          <t>2025.11</t>
        </is>
      </c>
      <c r="C28" s="41" t="n"/>
      <c r="D28" s="41" t="n"/>
      <c r="E28" s="41" t="n"/>
      <c r="N28" s="42">
        <f>+SUM(N29:N34)</f>
        <v/>
      </c>
    </row>
    <row r="29">
      <c r="B29" s="44" t="inlineStr">
        <is>
          <t>2025.12</t>
        </is>
      </c>
      <c r="C29" s="41" t="n">
        <v>56970</v>
      </c>
      <c r="D29" s="41" t="n"/>
      <c r="E29" s="41" t="n"/>
      <c r="M29" s="39" t="inlineStr">
        <is>
          <t>251121-03</t>
        </is>
      </c>
      <c r="N29" s="41" t="n">
        <v>30000</v>
      </c>
    </row>
    <row r="30">
      <c r="B30" s="44" t="n">
        <v>2026.01</v>
      </c>
      <c r="C30" s="41" t="n">
        <v>22702</v>
      </c>
      <c r="D30" s="41" t="n"/>
      <c r="E30" s="41" t="n"/>
      <c r="M30" s="39" t="inlineStr">
        <is>
          <t>260102-08</t>
        </is>
      </c>
      <c r="N30" s="41" t="n">
        <v>25000</v>
      </c>
    </row>
    <row r="31">
      <c r="B31" s="44" t="n">
        <v>2026.02</v>
      </c>
      <c r="C31" s="41" t="n">
        <v>15155</v>
      </c>
      <c r="D31" s="41" t="n"/>
      <c r="E31" s="41" t="n"/>
      <c r="M31" s="59" t="inlineStr">
        <is>
          <t>260223-01</t>
        </is>
      </c>
      <c r="N31" s="41" t="n">
        <v>15000</v>
      </c>
    </row>
    <row r="32">
      <c r="B32" s="44" t="n">
        <v>2026.03</v>
      </c>
      <c r="C32" s="41" t="n">
        <v>26790</v>
      </c>
      <c r="D32" s="41" t="n"/>
      <c r="E32" s="41" t="n"/>
      <c r="M32" s="59" t="inlineStr">
        <is>
          <t>260319-01-1</t>
        </is>
      </c>
      <c r="N32" s="41" t="n">
        <v>30000</v>
      </c>
    </row>
    <row r="33">
      <c r="B33" s="44" t="n">
        <v>2026.04</v>
      </c>
      <c r="C33" s="41" t="n">
        <v>31168</v>
      </c>
      <c r="D33" s="41" t="n"/>
      <c r="E33" s="41" t="n"/>
      <c r="M33" s="59" t="inlineStr">
        <is>
          <t>260328-01-01</t>
        </is>
      </c>
      <c r="N33" s="41" t="n">
        <v>70000</v>
      </c>
    </row>
    <row r="34">
      <c r="B34" s="44" t="n">
        <v>2026.05</v>
      </c>
      <c r="C34" s="41" t="n">
        <v>23694</v>
      </c>
      <c r="D34" s="41" t="n"/>
      <c r="E34" s="41" t="n"/>
      <c r="M34" s="59" t="inlineStr">
        <is>
          <t>260416-01-1</t>
        </is>
      </c>
      <c r="N34" s="41" t="n">
        <v>90000</v>
      </c>
      <c r="Y34" s="183" t="inlineStr">
        <is>
          <t xml:space="preserve">SHIBUTANI </t>
        </is>
      </c>
      <c r="Z34" s="149" t="n"/>
      <c r="AA34" s="150" t="n"/>
    </row>
    <row r="35">
      <c r="B35" s="44" t="n">
        <v>2026.06</v>
      </c>
      <c r="C35" s="41" t="n">
        <v>33000</v>
      </c>
      <c r="D35" s="41" t="n"/>
      <c r="E35" s="41" t="n"/>
      <c r="Y35" s="69" t="inlineStr">
        <is>
          <t>NGÀY XUẤT HÓA ĐƠN</t>
        </is>
      </c>
      <c r="Z35" s="69" t="inlineStr">
        <is>
          <t xml:space="preserve">MÃ HÀNG </t>
        </is>
      </c>
      <c r="AA35" s="69" t="inlineStr">
        <is>
          <t xml:space="preserve">SỐ LƯỢNG </t>
        </is>
      </c>
    </row>
    <row r="36">
      <c r="B36" s="43" t="n">
        <v>2026.07</v>
      </c>
      <c r="C36" s="41" t="n">
        <v>7200</v>
      </c>
      <c r="D36" s="41" t="n"/>
      <c r="E36" s="41" t="n"/>
      <c r="Y36" s="67" t="inlineStr">
        <is>
          <t>01/08/2026</t>
        </is>
      </c>
      <c r="Z36" s="184" t="inlineStr">
        <is>
          <t>PAR-011</t>
        </is>
      </c>
      <c r="AA36" s="185" t="inlineStr">
        <is>
          <t>10.000 PCS</t>
        </is>
      </c>
    </row>
    <row r="37">
      <c r="B37" s="43" t="n">
        <v>2026.08</v>
      </c>
      <c r="C37" s="41" t="n">
        <v>20000</v>
      </c>
      <c r="D37" s="41" t="n"/>
      <c r="E37" s="41" t="n"/>
    </row>
    <row r="38">
      <c r="B38" s="43" t="n">
        <v>2026.09</v>
      </c>
      <c r="C38" s="41" t="n"/>
      <c r="D38" s="41" t="n">
        <v>10000</v>
      </c>
      <c r="E38" s="41" t="n"/>
    </row>
    <row r="39">
      <c r="B39" s="64" t="inlineStr">
        <is>
          <t>2026.10</t>
        </is>
      </c>
      <c r="C39" s="41" t="n"/>
      <c r="D39" s="41" t="n"/>
      <c r="E39" s="41" t="n"/>
    </row>
    <row r="40">
      <c r="B40" s="64" t="inlineStr">
        <is>
          <t>2026.11</t>
        </is>
      </c>
      <c r="C40" s="41" t="n"/>
      <c r="D40" s="41" t="n"/>
      <c r="E40" s="41" t="n"/>
    </row>
    <row r="41">
      <c r="B41" s="64" t="inlineStr">
        <is>
          <t>2026.12</t>
        </is>
      </c>
      <c r="C41" s="41" t="n"/>
      <c r="D41" s="41" t="n"/>
      <c r="E41" s="41" t="n"/>
    </row>
    <row r="42">
      <c r="B42" s="47" t="inlineStr">
        <is>
          <t>Total</t>
        </is>
      </c>
      <c r="C42" s="180">
        <f>SUM(C25:C39)</f>
        <v/>
      </c>
      <c r="D42" s="180">
        <f>+C42</f>
        <v/>
      </c>
      <c r="E42" s="181">
        <f>C42-D42</f>
        <v/>
      </c>
    </row>
    <row r="43" ht="15.75" customHeight="1" s="127">
      <c r="B43" s="50" t="inlineStr">
        <is>
          <t>Số Shots</t>
        </is>
      </c>
      <c r="C43" s="182">
        <f>C42/4</f>
        <v/>
      </c>
      <c r="D43" s="149" t="n"/>
      <c r="E43" s="150" t="n"/>
    </row>
  </sheetData>
  <mergeCells count="14">
    <mergeCell ref="C2:E2"/>
    <mergeCell ref="B23:B24"/>
    <mergeCell ref="I2:K2"/>
    <mergeCell ref="C23:E23"/>
    <mergeCell ref="S1:T1"/>
    <mergeCell ref="C43:E43"/>
    <mergeCell ref="P1:Q1"/>
    <mergeCell ref="F2:H2"/>
    <mergeCell ref="B2:B3"/>
    <mergeCell ref="M1:N1"/>
    <mergeCell ref="F15:H15"/>
    <mergeCell ref="C15:E15"/>
    <mergeCell ref="I15:K15"/>
    <mergeCell ref="Y34:AA3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theme="0" tint="-0.499984740745262"/>
    <outlinePr summaryBelow="1" summaryRight="1"/>
    <pageSetUpPr fitToPage="1"/>
  </sheetPr>
  <dimension ref="A1:AO40"/>
  <sheetViews>
    <sheetView showGridLines="0" view="pageBreakPreview" zoomScale="60" zoomScaleNormal="100" workbookViewId="0">
      <pane xSplit="6" ySplit="3" topLeftCell="G25" activePane="bottomRight" state="frozen"/>
      <selection pane="topRight" activeCell="G1" sqref="G1"/>
      <selection pane="bottomLeft" activeCell="A4" sqref="A4"/>
      <selection pane="bottomRight" activeCell="AO29" sqref="AO29"/>
    </sheetView>
  </sheetViews>
  <sheetFormatPr baseColWidth="8" defaultColWidth="9" defaultRowHeight="21"/>
  <cols>
    <col width="14.140625" customWidth="1" style="1" min="1" max="1"/>
    <col width="3.7109375" customWidth="1" style="1" min="2" max="2"/>
    <col width="7.5703125" customWidth="1" style="1" min="3" max="3"/>
    <col width="2.5703125" customWidth="1" style="1" min="4" max="4"/>
    <col width="9" customWidth="1" style="1" min="5" max="5"/>
    <col width="21.28515625" customWidth="1" style="1" min="6" max="6"/>
    <col width="10" customWidth="1" style="1" min="7" max="37"/>
    <col width="16" bestFit="1" customWidth="1" style="1" min="38" max="38"/>
    <col width="6" customWidth="1" style="1" min="39" max="39"/>
    <col width="25.140625" customWidth="1" style="2" min="40" max="40"/>
    <col width="16.85546875" customWidth="1" style="20" min="41" max="41"/>
    <col width="3.7109375" customWidth="1" style="127" min="255" max="257"/>
    <col width="2.5703125" customWidth="1" style="127" min="258" max="261"/>
    <col width="3.7109375" customWidth="1" style="127" min="262" max="264"/>
    <col width="4.42578125" customWidth="1" style="127" min="265" max="295"/>
    <col width="9" customWidth="1" style="127" min="296" max="296"/>
    <col width="3.7109375" customWidth="1" style="127" min="511" max="513"/>
    <col width="2.5703125" customWidth="1" style="127" min="514" max="517"/>
    <col width="3.7109375" customWidth="1" style="127" min="518" max="520"/>
    <col width="4.42578125" customWidth="1" style="127" min="521" max="551"/>
    <col width="9" customWidth="1" style="127" min="552" max="552"/>
    <col width="3.7109375" customWidth="1" style="127" min="767" max="769"/>
    <col width="2.5703125" customWidth="1" style="127" min="770" max="773"/>
    <col width="3.7109375" customWidth="1" style="127" min="774" max="776"/>
    <col width="4.42578125" customWidth="1" style="127" min="777" max="807"/>
    <col width="9" customWidth="1" style="127" min="808" max="808"/>
    <col width="3.7109375" customWidth="1" style="127" min="1023" max="1025"/>
    <col width="2.5703125" customWidth="1" style="127" min="1026" max="1029"/>
    <col width="3.7109375" customWidth="1" style="127" min="1030" max="1032"/>
    <col width="4.42578125" customWidth="1" style="127" min="1033" max="1063"/>
    <col width="9" customWidth="1" style="127" min="1064" max="1064"/>
    <col width="3.7109375" customWidth="1" style="127" min="1279" max="1281"/>
    <col width="2.5703125" customWidth="1" style="127" min="1282" max="1285"/>
    <col width="3.7109375" customWidth="1" style="127" min="1286" max="1288"/>
    <col width="4.42578125" customWidth="1" style="127" min="1289" max="1319"/>
    <col width="9" customWidth="1" style="127" min="1320" max="1320"/>
    <col width="3.7109375" customWidth="1" style="127" min="1535" max="1537"/>
    <col width="2.5703125" customWidth="1" style="127" min="1538" max="1541"/>
    <col width="3.7109375" customWidth="1" style="127" min="1542" max="1544"/>
    <col width="4.42578125" customWidth="1" style="127" min="1545" max="1575"/>
    <col width="9" customWidth="1" style="127" min="1576" max="1576"/>
    <col width="3.7109375" customWidth="1" style="127" min="1791" max="1793"/>
    <col width="2.5703125" customWidth="1" style="127" min="1794" max="1797"/>
    <col width="3.7109375" customWidth="1" style="127" min="1798" max="1800"/>
    <col width="4.42578125" customWidth="1" style="127" min="1801" max="1831"/>
    <col width="9" customWidth="1" style="127" min="1832" max="1832"/>
    <col width="3.7109375" customWidth="1" style="127" min="2047" max="2049"/>
    <col width="2.5703125" customWidth="1" style="127" min="2050" max="2053"/>
    <col width="3.7109375" customWidth="1" style="127" min="2054" max="2056"/>
    <col width="4.42578125" customWidth="1" style="127" min="2057" max="2087"/>
    <col width="9" customWidth="1" style="127" min="2088" max="2088"/>
    <col width="3.7109375" customWidth="1" style="127" min="2303" max="2305"/>
    <col width="2.5703125" customWidth="1" style="127" min="2306" max="2309"/>
    <col width="3.7109375" customWidth="1" style="127" min="2310" max="2312"/>
    <col width="4.42578125" customWidth="1" style="127" min="2313" max="2343"/>
    <col width="9" customWidth="1" style="127" min="2344" max="2344"/>
    <col width="3.7109375" customWidth="1" style="127" min="2559" max="2561"/>
    <col width="2.5703125" customWidth="1" style="127" min="2562" max="2565"/>
    <col width="3.7109375" customWidth="1" style="127" min="2566" max="2568"/>
    <col width="4.42578125" customWidth="1" style="127" min="2569" max="2599"/>
    <col width="9" customWidth="1" style="127" min="2600" max="2600"/>
    <col width="3.7109375" customWidth="1" style="127" min="2815" max="2817"/>
    <col width="2.5703125" customWidth="1" style="127" min="2818" max="2821"/>
    <col width="3.7109375" customWidth="1" style="127" min="2822" max="2824"/>
    <col width="4.42578125" customWidth="1" style="127" min="2825" max="2855"/>
    <col width="9" customWidth="1" style="127" min="2856" max="2856"/>
    <col width="3.7109375" customWidth="1" style="127" min="3071" max="3073"/>
    <col width="2.5703125" customWidth="1" style="127" min="3074" max="3077"/>
    <col width="3.7109375" customWidth="1" style="127" min="3078" max="3080"/>
    <col width="4.42578125" customWidth="1" style="127" min="3081" max="3111"/>
    <col width="9" customWidth="1" style="127" min="3112" max="3112"/>
    <col width="3.7109375" customWidth="1" style="127" min="3327" max="3329"/>
    <col width="2.5703125" customWidth="1" style="127" min="3330" max="3333"/>
    <col width="3.7109375" customWidth="1" style="127" min="3334" max="3336"/>
    <col width="4.42578125" customWidth="1" style="127" min="3337" max="3367"/>
    <col width="9" customWidth="1" style="127" min="3368" max="3368"/>
    <col width="3.7109375" customWidth="1" style="127" min="3583" max="3585"/>
    <col width="2.5703125" customWidth="1" style="127" min="3586" max="3589"/>
    <col width="3.7109375" customWidth="1" style="127" min="3590" max="3592"/>
    <col width="4.42578125" customWidth="1" style="127" min="3593" max="3623"/>
    <col width="9" customWidth="1" style="127" min="3624" max="3624"/>
    <col width="3.7109375" customWidth="1" style="127" min="3839" max="3841"/>
    <col width="2.5703125" customWidth="1" style="127" min="3842" max="3845"/>
    <col width="3.7109375" customWidth="1" style="127" min="3846" max="3848"/>
    <col width="4.42578125" customWidth="1" style="127" min="3849" max="3879"/>
    <col width="9" customWidth="1" style="127" min="3880" max="3880"/>
    <col width="3.7109375" customWidth="1" style="127" min="4095" max="4097"/>
    <col width="2.5703125" customWidth="1" style="127" min="4098" max="4101"/>
    <col width="3.7109375" customWidth="1" style="127" min="4102" max="4104"/>
    <col width="4.42578125" customWidth="1" style="127" min="4105" max="4135"/>
    <col width="9" customWidth="1" style="127" min="4136" max="4136"/>
    <col width="3.7109375" customWidth="1" style="127" min="4351" max="4353"/>
    <col width="2.5703125" customWidth="1" style="127" min="4354" max="4357"/>
    <col width="3.7109375" customWidth="1" style="127" min="4358" max="4360"/>
    <col width="4.42578125" customWidth="1" style="127" min="4361" max="4391"/>
    <col width="9" customWidth="1" style="127" min="4392" max="4392"/>
    <col width="3.7109375" customWidth="1" style="127" min="4607" max="4609"/>
    <col width="2.5703125" customWidth="1" style="127" min="4610" max="4613"/>
    <col width="3.7109375" customWidth="1" style="127" min="4614" max="4616"/>
    <col width="4.42578125" customWidth="1" style="127" min="4617" max="4647"/>
    <col width="9" customWidth="1" style="127" min="4648" max="4648"/>
    <col width="3.7109375" customWidth="1" style="127" min="4863" max="4865"/>
    <col width="2.5703125" customWidth="1" style="127" min="4866" max="4869"/>
    <col width="3.7109375" customWidth="1" style="127" min="4870" max="4872"/>
    <col width="4.42578125" customWidth="1" style="127" min="4873" max="4903"/>
    <col width="9" customWidth="1" style="127" min="4904" max="4904"/>
    <col width="3.7109375" customWidth="1" style="127" min="5119" max="5121"/>
    <col width="2.5703125" customWidth="1" style="127" min="5122" max="5125"/>
    <col width="3.7109375" customWidth="1" style="127" min="5126" max="5128"/>
    <col width="4.42578125" customWidth="1" style="127" min="5129" max="5159"/>
    <col width="9" customWidth="1" style="127" min="5160" max="5160"/>
    <col width="3.7109375" customWidth="1" style="127" min="5375" max="5377"/>
    <col width="2.5703125" customWidth="1" style="127" min="5378" max="5381"/>
    <col width="3.7109375" customWidth="1" style="127" min="5382" max="5384"/>
    <col width="4.42578125" customWidth="1" style="127" min="5385" max="5415"/>
    <col width="9" customWidth="1" style="127" min="5416" max="5416"/>
    <col width="3.7109375" customWidth="1" style="127" min="5631" max="5633"/>
    <col width="2.5703125" customWidth="1" style="127" min="5634" max="5637"/>
    <col width="3.7109375" customWidth="1" style="127" min="5638" max="5640"/>
    <col width="4.42578125" customWidth="1" style="127" min="5641" max="5671"/>
    <col width="9" customWidth="1" style="127" min="5672" max="5672"/>
    <col width="3.7109375" customWidth="1" style="127" min="5887" max="5889"/>
    <col width="2.5703125" customWidth="1" style="127" min="5890" max="5893"/>
    <col width="3.7109375" customWidth="1" style="127" min="5894" max="5896"/>
    <col width="4.42578125" customWidth="1" style="127" min="5897" max="5927"/>
    <col width="9" customWidth="1" style="127" min="5928" max="5928"/>
    <col width="3.7109375" customWidth="1" style="127" min="6143" max="6145"/>
    <col width="2.5703125" customWidth="1" style="127" min="6146" max="6149"/>
    <col width="3.7109375" customWidth="1" style="127" min="6150" max="6152"/>
    <col width="4.42578125" customWidth="1" style="127" min="6153" max="6183"/>
    <col width="9" customWidth="1" style="127" min="6184" max="6184"/>
    <col width="3.7109375" customWidth="1" style="127" min="6399" max="6401"/>
    <col width="2.5703125" customWidth="1" style="127" min="6402" max="6405"/>
    <col width="3.7109375" customWidth="1" style="127" min="6406" max="6408"/>
    <col width="4.42578125" customWidth="1" style="127" min="6409" max="6439"/>
    <col width="9" customWidth="1" style="127" min="6440" max="6440"/>
    <col width="3.7109375" customWidth="1" style="127" min="6655" max="6657"/>
    <col width="2.5703125" customWidth="1" style="127" min="6658" max="6661"/>
    <col width="3.7109375" customWidth="1" style="127" min="6662" max="6664"/>
    <col width="4.42578125" customWidth="1" style="127" min="6665" max="6695"/>
    <col width="9" customWidth="1" style="127" min="6696" max="6696"/>
    <col width="3.7109375" customWidth="1" style="127" min="6911" max="6913"/>
    <col width="2.5703125" customWidth="1" style="127" min="6914" max="6917"/>
    <col width="3.7109375" customWidth="1" style="127" min="6918" max="6920"/>
    <col width="4.42578125" customWidth="1" style="127" min="6921" max="6951"/>
    <col width="9" customWidth="1" style="127" min="6952" max="6952"/>
    <col width="3.7109375" customWidth="1" style="127" min="7167" max="7169"/>
    <col width="2.5703125" customWidth="1" style="127" min="7170" max="7173"/>
    <col width="3.7109375" customWidth="1" style="127" min="7174" max="7176"/>
    <col width="4.42578125" customWidth="1" style="127" min="7177" max="7207"/>
    <col width="9" customWidth="1" style="127" min="7208" max="7208"/>
    <col width="3.7109375" customWidth="1" style="127" min="7423" max="7425"/>
    <col width="2.5703125" customWidth="1" style="127" min="7426" max="7429"/>
    <col width="3.7109375" customWidth="1" style="127" min="7430" max="7432"/>
    <col width="4.42578125" customWidth="1" style="127" min="7433" max="7463"/>
    <col width="9" customWidth="1" style="127" min="7464" max="7464"/>
    <col width="3.7109375" customWidth="1" style="127" min="7679" max="7681"/>
    <col width="2.5703125" customWidth="1" style="127" min="7682" max="7685"/>
    <col width="3.7109375" customWidth="1" style="127" min="7686" max="7688"/>
    <col width="4.42578125" customWidth="1" style="127" min="7689" max="7719"/>
    <col width="9" customWidth="1" style="127" min="7720" max="7720"/>
    <col width="3.7109375" customWidth="1" style="127" min="7935" max="7937"/>
    <col width="2.5703125" customWidth="1" style="127" min="7938" max="7941"/>
    <col width="3.7109375" customWidth="1" style="127" min="7942" max="7944"/>
    <col width="4.42578125" customWidth="1" style="127" min="7945" max="7975"/>
    <col width="9" customWidth="1" style="127" min="7976" max="7976"/>
    <col width="3.7109375" customWidth="1" style="127" min="8191" max="8193"/>
    <col width="2.5703125" customWidth="1" style="127" min="8194" max="8197"/>
    <col width="3.7109375" customWidth="1" style="127" min="8198" max="8200"/>
    <col width="4.42578125" customWidth="1" style="127" min="8201" max="8231"/>
    <col width="9" customWidth="1" style="127" min="8232" max="8232"/>
    <col width="3.7109375" customWidth="1" style="127" min="8447" max="8449"/>
    <col width="2.5703125" customWidth="1" style="127" min="8450" max="8453"/>
    <col width="3.7109375" customWidth="1" style="127" min="8454" max="8456"/>
    <col width="4.42578125" customWidth="1" style="127" min="8457" max="8487"/>
    <col width="9" customWidth="1" style="127" min="8488" max="8488"/>
    <col width="3.7109375" customWidth="1" style="127" min="8703" max="8705"/>
    <col width="2.5703125" customWidth="1" style="127" min="8706" max="8709"/>
    <col width="3.7109375" customWidth="1" style="127" min="8710" max="8712"/>
    <col width="4.42578125" customWidth="1" style="127" min="8713" max="8743"/>
    <col width="9" customWidth="1" style="127" min="8744" max="8744"/>
    <col width="3.7109375" customWidth="1" style="127" min="8959" max="8961"/>
    <col width="2.5703125" customWidth="1" style="127" min="8962" max="8965"/>
    <col width="3.7109375" customWidth="1" style="127" min="8966" max="8968"/>
    <col width="4.42578125" customWidth="1" style="127" min="8969" max="8999"/>
    <col width="9" customWidth="1" style="127" min="9000" max="9000"/>
    <col width="3.7109375" customWidth="1" style="127" min="9215" max="9217"/>
    <col width="2.5703125" customWidth="1" style="127" min="9218" max="9221"/>
    <col width="3.7109375" customWidth="1" style="127" min="9222" max="9224"/>
    <col width="4.42578125" customWidth="1" style="127" min="9225" max="9255"/>
    <col width="9" customWidth="1" style="127" min="9256" max="9256"/>
    <col width="3.7109375" customWidth="1" style="127" min="9471" max="9473"/>
    <col width="2.5703125" customWidth="1" style="127" min="9474" max="9477"/>
    <col width="3.7109375" customWidth="1" style="127" min="9478" max="9480"/>
    <col width="4.42578125" customWidth="1" style="127" min="9481" max="9511"/>
    <col width="9" customWidth="1" style="127" min="9512" max="9512"/>
    <col width="3.7109375" customWidth="1" style="127" min="9727" max="9729"/>
    <col width="2.5703125" customWidth="1" style="127" min="9730" max="9733"/>
    <col width="3.7109375" customWidth="1" style="127" min="9734" max="9736"/>
    <col width="4.42578125" customWidth="1" style="127" min="9737" max="9767"/>
    <col width="9" customWidth="1" style="127" min="9768" max="9768"/>
    <col width="3.7109375" customWidth="1" style="127" min="9983" max="9985"/>
    <col width="2.5703125" customWidth="1" style="127" min="9986" max="9989"/>
    <col width="3.7109375" customWidth="1" style="127" min="9990" max="9992"/>
    <col width="4.42578125" customWidth="1" style="127" min="9993" max="10023"/>
    <col width="9" customWidth="1" style="127" min="10024" max="10024"/>
    <col width="3.7109375" customWidth="1" style="127" min="10239" max="10241"/>
    <col width="2.5703125" customWidth="1" style="127" min="10242" max="10245"/>
    <col width="3.7109375" customWidth="1" style="127" min="10246" max="10248"/>
    <col width="4.42578125" customWidth="1" style="127" min="10249" max="10279"/>
    <col width="9" customWidth="1" style="127" min="10280" max="10280"/>
    <col width="3.7109375" customWidth="1" style="127" min="10495" max="10497"/>
    <col width="2.5703125" customWidth="1" style="127" min="10498" max="10501"/>
    <col width="3.7109375" customWidth="1" style="127" min="10502" max="10504"/>
    <col width="4.42578125" customWidth="1" style="127" min="10505" max="10535"/>
    <col width="9" customWidth="1" style="127" min="10536" max="10536"/>
    <col width="3.7109375" customWidth="1" style="127" min="10751" max="10753"/>
    <col width="2.5703125" customWidth="1" style="127" min="10754" max="10757"/>
    <col width="3.7109375" customWidth="1" style="127" min="10758" max="10760"/>
    <col width="4.42578125" customWidth="1" style="127" min="10761" max="10791"/>
    <col width="9" customWidth="1" style="127" min="10792" max="10792"/>
    <col width="3.7109375" customWidth="1" style="127" min="11007" max="11009"/>
    <col width="2.5703125" customWidth="1" style="127" min="11010" max="11013"/>
    <col width="3.7109375" customWidth="1" style="127" min="11014" max="11016"/>
    <col width="4.42578125" customWidth="1" style="127" min="11017" max="11047"/>
    <col width="9" customWidth="1" style="127" min="11048" max="11048"/>
    <col width="3.7109375" customWidth="1" style="127" min="11263" max="11265"/>
    <col width="2.5703125" customWidth="1" style="127" min="11266" max="11269"/>
    <col width="3.7109375" customWidth="1" style="127" min="11270" max="11272"/>
    <col width="4.42578125" customWidth="1" style="127" min="11273" max="11303"/>
    <col width="9" customWidth="1" style="127" min="11304" max="11304"/>
    <col width="3.7109375" customWidth="1" style="127" min="11519" max="11521"/>
    <col width="2.5703125" customWidth="1" style="127" min="11522" max="11525"/>
    <col width="3.7109375" customWidth="1" style="127" min="11526" max="11528"/>
    <col width="4.42578125" customWidth="1" style="127" min="11529" max="11559"/>
    <col width="9" customWidth="1" style="127" min="11560" max="11560"/>
    <col width="3.7109375" customWidth="1" style="127" min="11775" max="11777"/>
    <col width="2.5703125" customWidth="1" style="127" min="11778" max="11781"/>
    <col width="3.7109375" customWidth="1" style="127" min="11782" max="11784"/>
    <col width="4.42578125" customWidth="1" style="127" min="11785" max="11815"/>
    <col width="9" customWidth="1" style="127" min="11816" max="11816"/>
    <col width="3.7109375" customWidth="1" style="127" min="12031" max="12033"/>
    <col width="2.5703125" customWidth="1" style="127" min="12034" max="12037"/>
    <col width="3.7109375" customWidth="1" style="127" min="12038" max="12040"/>
    <col width="4.42578125" customWidth="1" style="127" min="12041" max="12071"/>
    <col width="9" customWidth="1" style="127" min="12072" max="12072"/>
    <col width="3.7109375" customWidth="1" style="127" min="12287" max="12289"/>
    <col width="2.5703125" customWidth="1" style="127" min="12290" max="12293"/>
    <col width="3.7109375" customWidth="1" style="127" min="12294" max="12296"/>
    <col width="4.42578125" customWidth="1" style="127" min="12297" max="12327"/>
    <col width="9" customWidth="1" style="127" min="12328" max="12328"/>
    <col width="3.7109375" customWidth="1" style="127" min="12543" max="12545"/>
    <col width="2.5703125" customWidth="1" style="127" min="12546" max="12549"/>
    <col width="3.7109375" customWidth="1" style="127" min="12550" max="12552"/>
    <col width="4.42578125" customWidth="1" style="127" min="12553" max="12583"/>
    <col width="9" customWidth="1" style="127" min="12584" max="12584"/>
    <col width="3.7109375" customWidth="1" style="127" min="12799" max="12801"/>
    <col width="2.5703125" customWidth="1" style="127" min="12802" max="12805"/>
    <col width="3.7109375" customWidth="1" style="127" min="12806" max="12808"/>
    <col width="4.42578125" customWidth="1" style="127" min="12809" max="12839"/>
    <col width="9" customWidth="1" style="127" min="12840" max="12840"/>
    <col width="3.7109375" customWidth="1" style="127" min="13055" max="13057"/>
    <col width="2.5703125" customWidth="1" style="127" min="13058" max="13061"/>
    <col width="3.7109375" customWidth="1" style="127" min="13062" max="13064"/>
    <col width="4.42578125" customWidth="1" style="127" min="13065" max="13095"/>
    <col width="9" customWidth="1" style="127" min="13096" max="13096"/>
    <col width="3.7109375" customWidth="1" style="127" min="13311" max="13313"/>
    <col width="2.5703125" customWidth="1" style="127" min="13314" max="13317"/>
    <col width="3.7109375" customWidth="1" style="127" min="13318" max="13320"/>
    <col width="4.42578125" customWidth="1" style="127" min="13321" max="13351"/>
    <col width="9" customWidth="1" style="127" min="13352" max="13352"/>
    <col width="3.7109375" customWidth="1" style="127" min="13567" max="13569"/>
    <col width="2.5703125" customWidth="1" style="127" min="13570" max="13573"/>
    <col width="3.7109375" customWidth="1" style="127" min="13574" max="13576"/>
    <col width="4.42578125" customWidth="1" style="127" min="13577" max="13607"/>
    <col width="9" customWidth="1" style="127" min="13608" max="13608"/>
    <col width="3.7109375" customWidth="1" style="127" min="13823" max="13825"/>
    <col width="2.5703125" customWidth="1" style="127" min="13826" max="13829"/>
    <col width="3.7109375" customWidth="1" style="127" min="13830" max="13832"/>
    <col width="4.42578125" customWidth="1" style="127" min="13833" max="13863"/>
    <col width="9" customWidth="1" style="127" min="13864" max="13864"/>
    <col width="3.7109375" customWidth="1" style="127" min="14079" max="14081"/>
    <col width="2.5703125" customWidth="1" style="127" min="14082" max="14085"/>
    <col width="3.7109375" customWidth="1" style="127" min="14086" max="14088"/>
    <col width="4.42578125" customWidth="1" style="127" min="14089" max="14119"/>
    <col width="9" customWidth="1" style="127" min="14120" max="14120"/>
    <col width="3.7109375" customWidth="1" style="127" min="14335" max="14337"/>
    <col width="2.5703125" customWidth="1" style="127" min="14338" max="14341"/>
    <col width="3.7109375" customWidth="1" style="127" min="14342" max="14344"/>
    <col width="4.42578125" customWidth="1" style="127" min="14345" max="14375"/>
    <col width="9" customWidth="1" style="127" min="14376" max="14376"/>
    <col width="3.7109375" customWidth="1" style="127" min="14591" max="14593"/>
    <col width="2.5703125" customWidth="1" style="127" min="14594" max="14597"/>
    <col width="3.7109375" customWidth="1" style="127" min="14598" max="14600"/>
    <col width="4.42578125" customWidth="1" style="127" min="14601" max="14631"/>
    <col width="9" customWidth="1" style="127" min="14632" max="14632"/>
    <col width="3.7109375" customWidth="1" style="127" min="14847" max="14849"/>
    <col width="2.5703125" customWidth="1" style="127" min="14850" max="14853"/>
    <col width="3.7109375" customWidth="1" style="127" min="14854" max="14856"/>
    <col width="4.42578125" customWidth="1" style="127" min="14857" max="14887"/>
    <col width="9" customWidth="1" style="127" min="14888" max="14888"/>
    <col width="3.7109375" customWidth="1" style="127" min="15103" max="15105"/>
    <col width="2.5703125" customWidth="1" style="127" min="15106" max="15109"/>
    <col width="3.7109375" customWidth="1" style="127" min="15110" max="15112"/>
    <col width="4.42578125" customWidth="1" style="127" min="15113" max="15143"/>
    <col width="9" customWidth="1" style="127" min="15144" max="15144"/>
    <col width="3.7109375" customWidth="1" style="127" min="15359" max="15361"/>
    <col width="2.5703125" customWidth="1" style="127" min="15362" max="15365"/>
    <col width="3.7109375" customWidth="1" style="127" min="15366" max="15368"/>
    <col width="4.42578125" customWidth="1" style="127" min="15369" max="15399"/>
    <col width="9" customWidth="1" style="127" min="15400" max="15400"/>
    <col width="3.7109375" customWidth="1" style="127" min="15615" max="15617"/>
    <col width="2.5703125" customWidth="1" style="127" min="15618" max="15621"/>
    <col width="3.7109375" customWidth="1" style="127" min="15622" max="15624"/>
    <col width="4.42578125" customWidth="1" style="127" min="15625" max="15655"/>
    <col width="9" customWidth="1" style="127" min="15656" max="15656"/>
    <col width="3.7109375" customWidth="1" style="127" min="15871" max="15873"/>
    <col width="2.5703125" customWidth="1" style="127" min="15874" max="15877"/>
    <col width="3.7109375" customWidth="1" style="127" min="15878" max="15880"/>
    <col width="4.42578125" customWidth="1" style="127" min="15881" max="15911"/>
    <col width="9" customWidth="1" style="127" min="15912" max="15912"/>
    <col width="3.7109375" customWidth="1" style="127" min="16127" max="16129"/>
    <col width="2.5703125" customWidth="1" style="127" min="16130" max="16133"/>
    <col width="3.7109375" customWidth="1" style="127" min="16134" max="16136"/>
    <col width="4.42578125" customWidth="1" style="127" min="16137" max="16167"/>
    <col width="9" customWidth="1" style="127" min="16168" max="16168"/>
  </cols>
  <sheetData>
    <row r="1" ht="30.75" customHeight="1" s="127">
      <c r="A1" s="10" t="n"/>
      <c r="B1" s="100" t="inlineStr">
        <is>
          <t>LỊCH GIAO HÀNG DO SUNG
DO SUNG会社の納品スケジュール</t>
        </is>
      </c>
    </row>
    <row r="2" ht="55.5" customHeight="1" s="127">
      <c r="A2" s="10" t="n"/>
    </row>
    <row r="3" ht="30.75" customHeight="1" s="127">
      <c r="A3" s="7" t="n"/>
    </row>
    <row r="4" ht="30.75" customHeight="1" s="127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101" t="n"/>
      <c r="AL4" s="7" t="n"/>
      <c r="AM4" s="7" t="n"/>
    </row>
    <row r="5" ht="21" customHeight="1" s="127" thickBot="1">
      <c r="B5" s="85" t="n">
        <v>2026</v>
      </c>
      <c r="D5" s="85" t="inlineStr">
        <is>
          <t>年</t>
        </is>
      </c>
      <c r="E5" s="85" t="n">
        <v>1</v>
      </c>
      <c r="F5" s="29" t="inlineStr">
        <is>
          <t>月</t>
        </is>
      </c>
      <c r="G5" s="8" t="n"/>
      <c r="H5" s="3" t="n"/>
      <c r="I5" s="3" t="n"/>
      <c r="J5" s="5" t="n"/>
      <c r="K5" s="5" t="n"/>
      <c r="L5" s="5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7" t="n"/>
    </row>
    <row r="6" ht="20.25" customFormat="1" customHeight="1" s="11">
      <c r="A6" s="173" t="inlineStr">
        <is>
          <t>mda0010 Woodone</t>
        </is>
      </c>
      <c r="B6" s="106" t="inlineStr">
        <is>
          <t>輸送</t>
        </is>
      </c>
      <c r="C6" s="129" t="n"/>
      <c r="D6" s="107" t="inlineStr">
        <is>
          <t>日</t>
        </is>
      </c>
      <c r="E6" s="130" t="n"/>
      <c r="F6" s="131" t="n"/>
      <c r="G6" s="132">
        <f>DATE(B5,E5,1)</f>
        <v/>
      </c>
      <c r="H6" s="132">
        <f>IF(G6="","",IF(DAY(G6+1)=1,"",G6+1))</f>
        <v/>
      </c>
      <c r="I6" s="132">
        <f>IF(H6="","",IF(DAY(H6+1)=1,"",H6+1))</f>
        <v/>
      </c>
      <c r="J6" s="132">
        <f>IF(I6="","",IF(DAY(I6+1)=1,"",I6+1))</f>
        <v/>
      </c>
      <c r="K6" s="132">
        <f>IF(J6="","",IF(DAY(J6+1)=1,"",J6+1))</f>
        <v/>
      </c>
      <c r="L6" s="132">
        <f>IF(K6="","",IF(DAY(K6+1)=1,"",K6+1))</f>
        <v/>
      </c>
      <c r="M6" s="132">
        <f>IF(L6="","",IF(DAY(L6+1)=1,"",L6+1))</f>
        <v/>
      </c>
      <c r="N6" s="132">
        <f>IF(M6="","",IF(DAY(M6+1)=1,"",M6+1))</f>
        <v/>
      </c>
      <c r="O6" s="132">
        <f>IF(N6="","",IF(DAY(N6+1)=1,"",N6+1))</f>
        <v/>
      </c>
      <c r="P6" s="132">
        <f>IF(O6="","",IF(DAY(O6+1)=1,"",O6+1))</f>
        <v/>
      </c>
      <c r="Q6" s="132">
        <f>IF(P6="","",IF(DAY(P6+1)=1,"",P6+1))</f>
        <v/>
      </c>
      <c r="R6" s="132">
        <f>IF(Q6="","",IF(DAY(Q6+1)=1,"",Q6+1))</f>
        <v/>
      </c>
      <c r="S6" s="132">
        <f>IF(R6="","",IF(DAY(R6+1)=1,"",R6+1))</f>
        <v/>
      </c>
      <c r="T6" s="132">
        <f>IF(S6="","",IF(DAY(S6+1)=1,"",S6+1))</f>
        <v/>
      </c>
      <c r="U6" s="132">
        <f>IF(T6="","",IF(DAY(T6+1)=1,"",T6+1))</f>
        <v/>
      </c>
      <c r="V6" s="132">
        <f>IF(U6="","",IF(DAY(U6+1)=1,"",U6+1))</f>
        <v/>
      </c>
      <c r="W6" s="132">
        <f>IF(V6="","",IF(DAY(V6+1)=1,"",V6+1))</f>
        <v/>
      </c>
      <c r="X6" s="132">
        <f>IF(W6="","",IF(DAY(W6+1)=1,"",W6+1))</f>
        <v/>
      </c>
      <c r="Y6" s="132">
        <f>IF(X6="","",IF(DAY(X6+1)=1,"",X6+1))</f>
        <v/>
      </c>
      <c r="Z6" s="132">
        <f>IF(Y6="","",IF(DAY(Y6+1)=1,"",Y6+1))</f>
        <v/>
      </c>
      <c r="AA6" s="132">
        <f>IF(Z6="","",IF(DAY(Z6+1)=1,"",Z6+1))</f>
        <v/>
      </c>
      <c r="AB6" s="132">
        <f>IF(AA6="","",IF(DAY(AA6+1)=1,"",AA6+1))</f>
        <v/>
      </c>
      <c r="AC6" s="132">
        <f>IF(AB6="","",IF(DAY(AB6+1)=1,"",AB6+1))</f>
        <v/>
      </c>
      <c r="AD6" s="132">
        <f>IF(AC6="","",IF(DAY(AC6+1)=1,"",AC6+1))</f>
        <v/>
      </c>
      <c r="AE6" s="132">
        <f>IF(AD6="","",IF(DAY(AD6+1)=1,"",AD6+1))</f>
        <v/>
      </c>
      <c r="AF6" s="132">
        <f>IF(AE6="","",IF(DAY(AE6+1)=1,"",AE6+1))</f>
        <v/>
      </c>
      <c r="AG6" s="132">
        <f>IF(AF6="","",IF(DAY(AF6+1)=1,"",AF6+1))</f>
        <v/>
      </c>
      <c r="AH6" s="132">
        <f>IF(AG6="","",IF(DAY(AG6+1)=1,"",AG6+1))</f>
        <v/>
      </c>
      <c r="AI6" s="132">
        <f>IF(AH6="","",IF(DAY(AH6+1)=1,"",AH6+1))</f>
        <v/>
      </c>
      <c r="AJ6" s="132">
        <f>IF(AI6="","",IF(DAY(AI6+1)=1,"",AI6+1))</f>
        <v/>
      </c>
      <c r="AK6" s="132">
        <f>IF(AJ6="","",IF(DAY(AJ6+1)=1,"",AJ6+1))</f>
        <v/>
      </c>
      <c r="AL6" s="133" t="inlineStr">
        <is>
          <t>Total</t>
        </is>
      </c>
      <c r="AM6" s="7" t="n"/>
      <c r="AN6" s="21" t="n"/>
      <c r="AO6" s="20" t="n"/>
    </row>
    <row r="7" ht="20.25" customFormat="1" customHeight="1" s="11">
      <c r="A7" s="134" t="n"/>
      <c r="B7" s="135" t="n"/>
      <c r="C7" s="136" t="n"/>
      <c r="D7" s="102" t="inlineStr">
        <is>
          <t>時間</t>
        </is>
      </c>
      <c r="E7" s="137" t="n"/>
      <c r="F7" s="138" t="n"/>
      <c r="G7" s="139">
        <f>+G6</f>
        <v/>
      </c>
      <c r="H7" s="139">
        <f>+H6</f>
        <v/>
      </c>
      <c r="I7" s="139">
        <f>+I6</f>
        <v/>
      </c>
      <c r="J7" s="139">
        <f>+J6</f>
        <v/>
      </c>
      <c r="K7" s="139">
        <f>+K6</f>
        <v/>
      </c>
      <c r="L7" s="139">
        <f>+L6</f>
        <v/>
      </c>
      <c r="M7" s="139">
        <f>+M6</f>
        <v/>
      </c>
      <c r="N7" s="139">
        <f>+N6</f>
        <v/>
      </c>
      <c r="O7" s="139">
        <f>+O6</f>
        <v/>
      </c>
      <c r="P7" s="139">
        <f>+P6</f>
        <v/>
      </c>
      <c r="Q7" s="139">
        <f>+Q6</f>
        <v/>
      </c>
      <c r="R7" s="139">
        <f>+R6</f>
        <v/>
      </c>
      <c r="S7" s="139">
        <f>+S6</f>
        <v/>
      </c>
      <c r="T7" s="139">
        <f>+T6</f>
        <v/>
      </c>
      <c r="U7" s="139">
        <f>+U6</f>
        <v/>
      </c>
      <c r="V7" s="139">
        <f>+V6</f>
        <v/>
      </c>
      <c r="W7" s="139">
        <f>+W6</f>
        <v/>
      </c>
      <c r="X7" s="139">
        <f>+X6</f>
        <v/>
      </c>
      <c r="Y7" s="139">
        <f>+Y6</f>
        <v/>
      </c>
      <c r="Z7" s="139">
        <f>+Z6</f>
        <v/>
      </c>
      <c r="AA7" s="139">
        <f>+AA6</f>
        <v/>
      </c>
      <c r="AB7" s="139">
        <f>+AB6</f>
        <v/>
      </c>
      <c r="AC7" s="139">
        <f>+AC6</f>
        <v/>
      </c>
      <c r="AD7" s="139">
        <f>+AD6</f>
        <v/>
      </c>
      <c r="AE7" s="139">
        <f>+AE6</f>
        <v/>
      </c>
      <c r="AF7" s="139">
        <f>+AF6</f>
        <v/>
      </c>
      <c r="AG7" s="139">
        <f>+AG6</f>
        <v/>
      </c>
      <c r="AH7" s="139">
        <f>+AH6</f>
        <v/>
      </c>
      <c r="AI7" s="139">
        <f>+AI6</f>
        <v/>
      </c>
      <c r="AJ7" s="139">
        <f>+AJ6</f>
        <v/>
      </c>
      <c r="AK7" s="139">
        <f>+AK6</f>
        <v/>
      </c>
      <c r="AL7" s="140" t="n"/>
      <c r="AN7" s="21" t="n"/>
      <c r="AO7" s="20" t="n"/>
    </row>
    <row r="8" ht="56.25" customFormat="1" customHeight="1" s="11">
      <c r="A8" s="134" t="n"/>
      <c r="B8" s="174" t="inlineStr">
        <is>
          <t>PO 注文書</t>
        </is>
      </c>
      <c r="C8" s="142" t="n"/>
      <c r="D8" s="142" t="n"/>
      <c r="E8" s="142" t="n"/>
      <c r="F8" s="143" t="n"/>
      <c r="G8" s="144" t="n"/>
      <c r="H8" s="145" t="n">
        <v>2000</v>
      </c>
      <c r="I8" s="144" t="n"/>
      <c r="J8" s="145" t="n"/>
      <c r="K8" s="145" t="n"/>
      <c r="L8" s="145" t="n"/>
      <c r="M8" s="145" t="n"/>
      <c r="N8" s="145" t="n">
        <v>3000</v>
      </c>
      <c r="O8" s="145" t="n"/>
      <c r="P8" s="145" t="n"/>
      <c r="Q8" s="145" t="n"/>
      <c r="R8" s="145" t="n"/>
      <c r="S8" s="145" t="n"/>
      <c r="T8" s="145" t="n"/>
      <c r="U8" s="145" t="n"/>
      <c r="V8" s="145" t="n"/>
      <c r="W8" s="145" t="n"/>
      <c r="X8" s="145" t="n"/>
      <c r="Y8" s="145" t="n"/>
      <c r="Z8" s="145" t="n"/>
      <c r="AA8" s="145" t="n"/>
      <c r="AB8" s="145" t="n"/>
      <c r="AC8" s="145" t="n"/>
      <c r="AD8" s="145" t="n"/>
      <c r="AE8" s="145" t="n"/>
      <c r="AF8" s="145" t="n"/>
      <c r="AG8" s="145" t="n"/>
      <c r="AH8" s="145" t="n"/>
      <c r="AI8" s="145" t="n"/>
      <c r="AJ8" s="145" t="n"/>
      <c r="AK8" s="145" t="n"/>
      <c r="AL8" s="146">
        <f>SUM(G8:AK8)</f>
        <v/>
      </c>
      <c r="AN8" s="147" t="inlineStr">
        <is>
          <t>Tồn PO
注文の 残量</t>
        </is>
      </c>
      <c r="AO8" s="148">
        <f>22306+AL8-AO9</f>
        <v/>
      </c>
    </row>
    <row r="9" ht="56.25" customHeight="1" s="127">
      <c r="A9" s="134" t="n"/>
      <c r="B9" s="111" t="inlineStr">
        <is>
          <t xml:space="preserve">計画数量
kế hoạch </t>
        </is>
      </c>
      <c r="C9" s="149" t="n"/>
      <c r="D9" s="149" t="n"/>
      <c r="E9" s="149" t="n"/>
      <c r="F9" s="150" t="n"/>
      <c r="G9" s="144" t="n"/>
      <c r="H9" s="144" t="n"/>
      <c r="I9" s="144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  <c r="AA9" s="145" t="n"/>
      <c r="AB9" s="145" t="n"/>
      <c r="AC9" s="145" t="n"/>
      <c r="AD9" s="145" t="n"/>
      <c r="AE9" s="145" t="n"/>
      <c r="AF9" s="145" t="n"/>
      <c r="AG9" s="145" t="n"/>
      <c r="AH9" s="145" t="n"/>
      <c r="AI9" s="145" t="n"/>
      <c r="AJ9" s="145" t="n"/>
      <c r="AK9" s="145" t="n"/>
      <c r="AL9" s="151">
        <f>SUM(G9:AK9)</f>
        <v/>
      </c>
      <c r="AM9" s="0" t="n"/>
      <c r="AN9" s="24" t="inlineStr">
        <is>
          <t>Tổng nhập 総入荷数量
（A)-(B)+(C)</t>
        </is>
      </c>
      <c r="AO9" s="152">
        <f>AL10-AL11+AL12</f>
        <v/>
      </c>
    </row>
    <row r="10" ht="56.25" customHeight="1" s="127">
      <c r="A10" s="134" t="n"/>
      <c r="B10" s="111" t="inlineStr">
        <is>
          <t>実際の納品数量
số lượng thực nhập</t>
        </is>
      </c>
      <c r="C10" s="149" t="n"/>
      <c r="D10" s="149" t="n"/>
      <c r="E10" s="149" t="n"/>
      <c r="F10" s="150" t="n"/>
      <c r="G10" s="153" t="n"/>
      <c r="H10" s="153" t="n"/>
      <c r="I10" s="154" t="n">
        <v>2393</v>
      </c>
      <c r="J10" s="155" t="n"/>
      <c r="K10" s="156" t="n"/>
      <c r="L10" s="156" t="n"/>
      <c r="M10" s="155" t="n"/>
      <c r="N10" s="155" t="n">
        <v>1949</v>
      </c>
      <c r="O10" s="155" t="n"/>
      <c r="P10" s="155" t="n"/>
      <c r="Q10" s="156" t="n"/>
      <c r="R10" s="156" t="n"/>
      <c r="S10" s="156" t="n">
        <v>1158</v>
      </c>
      <c r="T10" s="156" t="n"/>
      <c r="U10" s="156" t="n"/>
      <c r="V10" s="156" t="n"/>
      <c r="W10" s="156" t="n"/>
      <c r="X10" s="156" t="n"/>
      <c r="Y10" s="156" t="n"/>
      <c r="Z10" s="156" t="n">
        <v>1482</v>
      </c>
      <c r="AA10" s="156" t="n"/>
      <c r="AB10" s="156" t="n"/>
      <c r="AC10" s="155" t="n"/>
      <c r="AD10" s="155" t="n"/>
      <c r="AE10" s="156" t="n"/>
      <c r="AF10" s="156" t="n"/>
      <c r="AG10" s="155" t="n"/>
      <c r="AH10" s="155" t="n"/>
      <c r="AI10" s="156" t="n"/>
      <c r="AJ10" s="156" t="n"/>
      <c r="AK10" s="156" t="n"/>
      <c r="AL10" s="157">
        <f>SUM(G10:AK10)</f>
        <v/>
      </c>
      <c r="AM10" s="6" t="inlineStr">
        <is>
          <t>(A)</t>
        </is>
      </c>
      <c r="AN10" s="24" t="inlineStr">
        <is>
          <t>Số lượng chưa khai tháng trước 先月まだ税関に申告されていない数量</t>
        </is>
      </c>
      <c r="AO10" s="148" t="n">
        <v>1612</v>
      </c>
    </row>
    <row r="11" ht="56.25" customHeight="1" s="127">
      <c r="A11" s="134" t="n"/>
      <c r="B11" s="111" t="inlineStr">
        <is>
          <t>NG数量（DO SUNG 社変更済）
số lượng NG (Trả hàng DO SUNG)</t>
        </is>
      </c>
      <c r="C11" s="149" t="n"/>
      <c r="D11" s="149" t="n"/>
      <c r="E11" s="149" t="n"/>
      <c r="F11" s="150" t="n"/>
      <c r="G11" s="144" t="n"/>
      <c r="H11" s="144" t="n"/>
      <c r="I11" s="144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  <c r="AC11" s="145" t="n"/>
      <c r="AD11" s="145" t="n"/>
      <c r="AE11" s="145" t="n"/>
      <c r="AF11" s="145" t="n"/>
      <c r="AG11" s="145" t="n"/>
      <c r="AH11" s="145" t="n"/>
      <c r="AI11" s="145" t="n"/>
      <c r="AJ11" s="145" t="n"/>
      <c r="AK11" s="145" t="n"/>
      <c r="AL11" s="158">
        <f>SUM(G11:AK11)</f>
        <v/>
      </c>
      <c r="AM11" s="6" t="inlineStr">
        <is>
          <t>(B)</t>
        </is>
      </c>
      <c r="AN11" s="24" t="inlineStr">
        <is>
          <t>Số lượng đã khai tháng này 今月税関に申告された数量</t>
        </is>
      </c>
      <c r="AO11" s="26">
        <f>5954+2640</f>
        <v/>
      </c>
    </row>
    <row r="12" ht="56.25" customHeight="1" s="127" thickBot="1">
      <c r="A12" s="159" t="n"/>
      <c r="B12" s="109" t="inlineStr">
        <is>
          <t>NG数量（DO SUNG　社しゅり済）
số lượng NG (DO SUNG đã sửa )</t>
        </is>
      </c>
      <c r="C12" s="160" t="n"/>
      <c r="D12" s="160" t="n"/>
      <c r="E12" s="160" t="n"/>
      <c r="F12" s="161" t="n"/>
      <c r="G12" s="162" t="n"/>
      <c r="H12" s="162" t="n"/>
      <c r="I12" s="163" t="n"/>
      <c r="J12" s="164" t="n"/>
      <c r="K12" s="165" t="n"/>
      <c r="L12" s="164" t="n"/>
      <c r="M12" s="164" t="n"/>
      <c r="N12" s="164" t="n"/>
      <c r="O12" s="164" t="n"/>
      <c r="P12" s="164" t="n"/>
      <c r="Q12" s="164" t="n"/>
      <c r="R12" s="165" t="n"/>
      <c r="S12" s="164" t="n"/>
      <c r="T12" s="164" t="n"/>
      <c r="U12" s="164" t="n"/>
      <c r="V12" s="164" t="n"/>
      <c r="W12" s="164" t="n"/>
      <c r="X12" s="164" t="n"/>
      <c r="Y12" s="165" t="n"/>
      <c r="Z12" s="164" t="n"/>
      <c r="AA12" s="164" t="n"/>
      <c r="AB12" s="164" t="n"/>
      <c r="AC12" s="164" t="n"/>
      <c r="AD12" s="164" t="n"/>
      <c r="AE12" s="165" t="n"/>
      <c r="AF12" s="165" t="n"/>
      <c r="AG12" s="164" t="n"/>
      <c r="AH12" s="164" t="n"/>
      <c r="AI12" s="164" t="n"/>
      <c r="AJ12" s="165" t="n"/>
      <c r="AK12" s="165" t="n"/>
      <c r="AL12" s="166">
        <f>SUM(G12:AK12)</f>
        <v/>
      </c>
      <c r="AM12" s="6" t="inlineStr">
        <is>
          <t>(C)</t>
        </is>
      </c>
      <c r="AN12" s="24" t="inlineStr">
        <is>
          <t>Số lượng còn lại chưa khai 残りの数量はまだ税関に申告されていません</t>
        </is>
      </c>
      <c r="AO12" s="148">
        <f>AO10+AO9-AO11</f>
        <v/>
      </c>
    </row>
    <row r="14" ht="21" customHeight="1" s="127" thickBot="1">
      <c r="B14" s="85" t="n">
        <v>2026</v>
      </c>
      <c r="D14" s="85" t="inlineStr">
        <is>
          <t>年</t>
        </is>
      </c>
      <c r="E14" s="85" t="n">
        <v>4</v>
      </c>
      <c r="F14" s="29" t="inlineStr">
        <is>
          <t>月</t>
        </is>
      </c>
      <c r="G14" s="8" t="n"/>
      <c r="H14" s="3" t="n"/>
      <c r="I14" s="3" t="n"/>
      <c r="J14" s="5" t="n"/>
      <c r="K14" s="5" t="n"/>
      <c r="L14" s="5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7" t="n"/>
    </row>
    <row r="15" ht="20.25" customFormat="1" customHeight="1" s="11">
      <c r="A15" s="173" t="inlineStr">
        <is>
          <t>mda0010 Woodone</t>
        </is>
      </c>
      <c r="B15" s="106" t="inlineStr">
        <is>
          <t>輸送</t>
        </is>
      </c>
      <c r="C15" s="129" t="n"/>
      <c r="D15" s="107" t="inlineStr">
        <is>
          <t>日</t>
        </is>
      </c>
      <c r="E15" s="130" t="n"/>
      <c r="F15" s="131" t="n"/>
      <c r="G15" s="132">
        <f>DATE(B14,E14,1)</f>
        <v/>
      </c>
      <c r="H15" s="132">
        <f>IF(G15="","",IF(DAY(G15+1)=1,"",G15+1))</f>
        <v/>
      </c>
      <c r="I15" s="132">
        <f>IF(H15="","",IF(DAY(H15+1)=1,"",H15+1))</f>
        <v/>
      </c>
      <c r="J15" s="132">
        <f>IF(I15="","",IF(DAY(I15+1)=1,"",I15+1))</f>
        <v/>
      </c>
      <c r="K15" s="132">
        <f>IF(J15="","",IF(DAY(J15+1)=1,"",J15+1))</f>
        <v/>
      </c>
      <c r="L15" s="132">
        <f>IF(K15="","",IF(DAY(K15+1)=1,"",K15+1))</f>
        <v/>
      </c>
      <c r="M15" s="132">
        <f>IF(L15="","",IF(DAY(L15+1)=1,"",L15+1))</f>
        <v/>
      </c>
      <c r="N15" s="132">
        <f>IF(M15="","",IF(DAY(M15+1)=1,"",M15+1))</f>
        <v/>
      </c>
      <c r="O15" s="132">
        <f>IF(N15="","",IF(DAY(N15+1)=1,"",N15+1))</f>
        <v/>
      </c>
      <c r="P15" s="132">
        <f>IF(O15="","",IF(DAY(O15+1)=1,"",O15+1))</f>
        <v/>
      </c>
      <c r="Q15" s="132">
        <f>IF(P15="","",IF(DAY(P15+1)=1,"",P15+1))</f>
        <v/>
      </c>
      <c r="R15" s="132">
        <f>IF(Q15="","",IF(DAY(Q15+1)=1,"",Q15+1))</f>
        <v/>
      </c>
      <c r="S15" s="132">
        <f>IF(R15="","",IF(DAY(R15+1)=1,"",R15+1))</f>
        <v/>
      </c>
      <c r="T15" s="132">
        <f>IF(S15="","",IF(DAY(S15+1)=1,"",S15+1))</f>
        <v/>
      </c>
      <c r="U15" s="132">
        <f>IF(T15="","",IF(DAY(T15+1)=1,"",T15+1))</f>
        <v/>
      </c>
      <c r="V15" s="132">
        <f>IF(U15="","",IF(DAY(U15+1)=1,"",U15+1))</f>
        <v/>
      </c>
      <c r="W15" s="132">
        <f>IF(V15="","",IF(DAY(V15+1)=1,"",V15+1))</f>
        <v/>
      </c>
      <c r="X15" s="132">
        <f>IF(W15="","",IF(DAY(W15+1)=1,"",W15+1))</f>
        <v/>
      </c>
      <c r="Y15" s="132">
        <f>IF(X15="","",IF(DAY(X15+1)=1,"",X15+1))</f>
        <v/>
      </c>
      <c r="Z15" s="132">
        <f>IF(Y15="","",IF(DAY(Y15+1)=1,"",Y15+1))</f>
        <v/>
      </c>
      <c r="AA15" s="132">
        <f>IF(Z15="","",IF(DAY(Z15+1)=1,"",Z15+1))</f>
        <v/>
      </c>
      <c r="AB15" s="132">
        <f>IF(AA15="","",IF(DAY(AA15+1)=1,"",AA15+1))</f>
        <v/>
      </c>
      <c r="AC15" s="132">
        <f>IF(AB15="","",IF(DAY(AB15+1)=1,"",AB15+1))</f>
        <v/>
      </c>
      <c r="AD15" s="132">
        <f>IF(AC15="","",IF(DAY(AC15+1)=1,"",AC15+1))</f>
        <v/>
      </c>
      <c r="AE15" s="132">
        <f>IF(AD15="","",IF(DAY(AD15+1)=1,"",AD15+1))</f>
        <v/>
      </c>
      <c r="AF15" s="132">
        <f>IF(AE15="","",IF(DAY(AE15+1)=1,"",AE15+1))</f>
        <v/>
      </c>
      <c r="AG15" s="132">
        <f>IF(AF15="","",IF(DAY(AF15+1)=1,"",AF15+1))</f>
        <v/>
      </c>
      <c r="AH15" s="132">
        <f>IF(AG15="","",IF(DAY(AG15+1)=1,"",AG15+1))</f>
        <v/>
      </c>
      <c r="AI15" s="132">
        <f>IF(AH15="","",IF(DAY(AH15+1)=1,"",AH15+1))</f>
        <v/>
      </c>
      <c r="AJ15" s="132">
        <f>IF(AI15="","",IF(DAY(AI15+1)=1,"",AI15+1))</f>
        <v/>
      </c>
      <c r="AK15" s="132">
        <f>IF(AJ15="","",IF(DAY(AJ15+1)=1,"",AJ15+1))</f>
        <v/>
      </c>
      <c r="AL15" s="133" t="inlineStr">
        <is>
          <t>Total</t>
        </is>
      </c>
      <c r="AM15" s="7" t="n"/>
      <c r="AN15" s="21" t="n"/>
      <c r="AO15" s="20" t="n"/>
    </row>
    <row r="16" ht="20.25" customFormat="1" customHeight="1" s="11">
      <c r="A16" s="134" t="n"/>
      <c r="B16" s="135" t="n"/>
      <c r="C16" s="136" t="n"/>
      <c r="D16" s="102" t="inlineStr">
        <is>
          <t>時間</t>
        </is>
      </c>
      <c r="E16" s="137" t="n"/>
      <c r="F16" s="138" t="n"/>
      <c r="G16" s="139">
        <f>+G15</f>
        <v/>
      </c>
      <c r="H16" s="139">
        <f>+H15</f>
        <v/>
      </c>
      <c r="I16" s="139">
        <f>+I15</f>
        <v/>
      </c>
      <c r="J16" s="139">
        <f>+J15</f>
        <v/>
      </c>
      <c r="K16" s="139">
        <f>+K15</f>
        <v/>
      </c>
      <c r="L16" s="139">
        <f>+L15</f>
        <v/>
      </c>
      <c r="M16" s="139">
        <f>+M15</f>
        <v/>
      </c>
      <c r="N16" s="139">
        <f>+N15</f>
        <v/>
      </c>
      <c r="O16" s="139">
        <f>+O15</f>
        <v/>
      </c>
      <c r="P16" s="139">
        <f>+P15</f>
        <v/>
      </c>
      <c r="Q16" s="139">
        <f>+Q15</f>
        <v/>
      </c>
      <c r="R16" s="139">
        <f>+R15</f>
        <v/>
      </c>
      <c r="S16" s="139">
        <f>+S15</f>
        <v/>
      </c>
      <c r="T16" s="139">
        <f>+T15</f>
        <v/>
      </c>
      <c r="U16" s="139">
        <f>+U15</f>
        <v/>
      </c>
      <c r="V16" s="139">
        <f>+V15</f>
        <v/>
      </c>
      <c r="W16" s="139">
        <f>+W15</f>
        <v/>
      </c>
      <c r="X16" s="139">
        <f>+X15</f>
        <v/>
      </c>
      <c r="Y16" s="139">
        <f>+Y15</f>
        <v/>
      </c>
      <c r="Z16" s="139">
        <f>+Z15</f>
        <v/>
      </c>
      <c r="AA16" s="139">
        <f>+AA15</f>
        <v/>
      </c>
      <c r="AB16" s="139">
        <f>+AB15</f>
        <v/>
      </c>
      <c r="AC16" s="139">
        <f>+AC15</f>
        <v/>
      </c>
      <c r="AD16" s="139">
        <f>+AD15</f>
        <v/>
      </c>
      <c r="AE16" s="139">
        <f>+AE15</f>
        <v/>
      </c>
      <c r="AF16" s="139">
        <f>+AF15</f>
        <v/>
      </c>
      <c r="AG16" s="139">
        <f>+AG15</f>
        <v/>
      </c>
      <c r="AH16" s="139">
        <f>+AH15</f>
        <v/>
      </c>
      <c r="AI16" s="139">
        <f>+AI15</f>
        <v/>
      </c>
      <c r="AJ16" s="139">
        <f>+AJ15</f>
        <v/>
      </c>
      <c r="AK16" s="139">
        <f>+AK15</f>
        <v/>
      </c>
      <c r="AL16" s="140" t="n"/>
      <c r="AN16" s="21" t="n"/>
      <c r="AO16" s="20" t="n"/>
    </row>
    <row r="17" ht="56.25" customFormat="1" customHeight="1" s="11">
      <c r="A17" s="134" t="n"/>
      <c r="B17" s="174" t="inlineStr">
        <is>
          <t>PO 注文書</t>
        </is>
      </c>
      <c r="C17" s="142" t="n"/>
      <c r="D17" s="142" t="n"/>
      <c r="E17" s="142" t="n"/>
      <c r="F17" s="143" t="n"/>
      <c r="G17" s="144" t="n"/>
      <c r="H17" s="145" t="n"/>
      <c r="I17" s="144" t="n"/>
      <c r="J17" s="145" t="n"/>
      <c r="K17" s="145" t="n"/>
      <c r="L17" s="145" t="n"/>
      <c r="M17" s="145" t="n"/>
      <c r="N17" s="145" t="n"/>
      <c r="O17" s="145" t="n"/>
      <c r="P17" s="145" t="n"/>
      <c r="Q17" s="145" t="n"/>
      <c r="R17" s="145" t="n"/>
      <c r="S17" s="145" t="n"/>
      <c r="T17" s="145" t="n"/>
      <c r="U17" s="145" t="n"/>
      <c r="V17" s="145" t="n"/>
      <c r="W17" s="145" t="n"/>
      <c r="X17" s="145" t="n"/>
      <c r="Y17" s="145" t="n"/>
      <c r="Z17" s="145" t="n"/>
      <c r="AA17" s="145" t="n"/>
      <c r="AB17" s="145" t="n"/>
      <c r="AC17" s="145" t="n"/>
      <c r="AD17" s="145" t="n"/>
      <c r="AE17" s="145" t="n"/>
      <c r="AF17" s="145" t="n"/>
      <c r="AG17" s="145" t="n"/>
      <c r="AH17" s="145" t="n"/>
      <c r="AI17" s="145" t="n"/>
      <c r="AJ17" s="145" t="n"/>
      <c r="AK17" s="145" t="n"/>
      <c r="AL17" s="146">
        <f>SUM(G17:AK17)</f>
        <v/>
      </c>
      <c r="AN17" s="147" t="inlineStr">
        <is>
          <t>Tồn PO
注文の 残量</t>
        </is>
      </c>
      <c r="AO17" s="148">
        <f>AO12+AL17-AO18</f>
        <v/>
      </c>
    </row>
    <row r="18" ht="56.25" customHeight="1" s="127">
      <c r="A18" s="134" t="n"/>
      <c r="B18" s="111" t="inlineStr">
        <is>
          <t xml:space="preserve">計画数量
kế hoạch </t>
        </is>
      </c>
      <c r="C18" s="149" t="n"/>
      <c r="D18" s="149" t="n"/>
      <c r="E18" s="149" t="n"/>
      <c r="F18" s="150" t="n"/>
      <c r="G18" s="144" t="n"/>
      <c r="H18" s="144" t="n"/>
      <c r="I18" s="144" t="n"/>
      <c r="J18" s="145" t="n"/>
      <c r="K18" s="145" t="n"/>
      <c r="L18" s="145" t="n"/>
      <c r="M18" s="145" t="n"/>
      <c r="N18" s="145" t="n"/>
      <c r="O18" s="145" t="n"/>
      <c r="P18" s="145" t="n"/>
      <c r="Q18" s="145" t="n"/>
      <c r="R18" s="145" t="n"/>
      <c r="S18" s="145" t="n"/>
      <c r="T18" s="145" t="n"/>
      <c r="U18" s="145" t="n"/>
      <c r="V18" s="145" t="n"/>
      <c r="W18" s="145" t="n"/>
      <c r="X18" s="145" t="n"/>
      <c r="Y18" s="145" t="n"/>
      <c r="Z18" s="145" t="n"/>
      <c r="AA18" s="145" t="n"/>
      <c r="AB18" s="145" t="n"/>
      <c r="AC18" s="145" t="n"/>
      <c r="AD18" s="145" t="n"/>
      <c r="AE18" s="145" t="n"/>
      <c r="AF18" s="145" t="n"/>
      <c r="AG18" s="145" t="n"/>
      <c r="AH18" s="145" t="n"/>
      <c r="AI18" s="145" t="n"/>
      <c r="AJ18" s="145" t="n"/>
      <c r="AK18" s="145" t="n"/>
      <c r="AL18" s="151">
        <f>SUM(G18:AK18)</f>
        <v/>
      </c>
      <c r="AM18" s="0" t="n"/>
      <c r="AN18" s="24" t="inlineStr">
        <is>
          <t>Tổng nhập 総入荷数量
（A)-(B)+(C)</t>
        </is>
      </c>
      <c r="AO18" s="152">
        <f>AL19-AL20+AL21</f>
        <v/>
      </c>
    </row>
    <row r="19" ht="56.25" customHeight="1" s="127">
      <c r="A19" s="134" t="n"/>
      <c r="B19" s="111" t="inlineStr">
        <is>
          <t>実際の納品数量
số lượng thực nhập</t>
        </is>
      </c>
      <c r="C19" s="149" t="n"/>
      <c r="D19" s="149" t="n"/>
      <c r="E19" s="149" t="n"/>
      <c r="F19" s="150" t="n"/>
      <c r="G19" s="153" t="n"/>
      <c r="H19" s="153" t="n"/>
      <c r="I19" s="154" t="n"/>
      <c r="J19" s="155" t="n"/>
      <c r="K19" s="156" t="n"/>
      <c r="L19" s="156" t="n"/>
      <c r="M19" s="155" t="n"/>
      <c r="N19" s="155" t="n"/>
      <c r="O19" s="155" t="n"/>
      <c r="P19" s="155" t="n"/>
      <c r="Q19" s="156" t="n"/>
      <c r="R19" s="156" t="n"/>
      <c r="S19" s="156" t="n"/>
      <c r="T19" s="156" t="n"/>
      <c r="U19" s="156" t="n"/>
      <c r="V19" s="156" t="n"/>
      <c r="W19" s="156" t="n"/>
      <c r="X19" s="156" t="n"/>
      <c r="Y19" s="156" t="n"/>
      <c r="Z19" s="156" t="n"/>
      <c r="AA19" s="156" t="n"/>
      <c r="AB19" s="156" t="n"/>
      <c r="AC19" s="155" t="n"/>
      <c r="AD19" s="155" t="n"/>
      <c r="AE19" s="156" t="n"/>
      <c r="AF19" s="156" t="n"/>
      <c r="AG19" s="155" t="n"/>
      <c r="AH19" s="155" t="n"/>
      <c r="AI19" s="156" t="n"/>
      <c r="AJ19" s="156" t="n"/>
      <c r="AK19" s="156" t="n"/>
      <c r="AL19" s="157">
        <f>SUM(G19:AK19)</f>
        <v/>
      </c>
      <c r="AM19" s="6" t="inlineStr">
        <is>
          <t>(A)</t>
        </is>
      </c>
      <c r="AN19" s="24" t="inlineStr">
        <is>
          <t>Số lượng chưa khai tháng trước 先月まだ税関に申告されていない数量</t>
        </is>
      </c>
      <c r="AO19" s="148">
        <f>AO12</f>
        <v/>
      </c>
    </row>
    <row r="20" ht="56.25" customHeight="1" s="127">
      <c r="A20" s="134" t="n"/>
      <c r="B20" s="111" t="inlineStr">
        <is>
          <t>NG数量（DO SUNG 社変更済）
số lượng NG (Trả hàng DO SUNG)</t>
        </is>
      </c>
      <c r="C20" s="149" t="n"/>
      <c r="D20" s="149" t="n"/>
      <c r="E20" s="149" t="n"/>
      <c r="F20" s="150" t="n"/>
      <c r="G20" s="144" t="n"/>
      <c r="H20" s="144" t="n"/>
      <c r="I20" s="144" t="n"/>
      <c r="J20" s="145" t="n"/>
      <c r="K20" s="145" t="n"/>
      <c r="L20" s="145" t="n"/>
      <c r="M20" s="145" t="n"/>
      <c r="N20" s="145" t="n"/>
      <c r="O20" s="145" t="n"/>
      <c r="P20" s="145" t="n">
        <v>4061</v>
      </c>
      <c r="Q20" s="145" t="n"/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5" t="n"/>
      <c r="AF20" s="145" t="n"/>
      <c r="AG20" s="145" t="n"/>
      <c r="AH20" s="145" t="n"/>
      <c r="AI20" s="145" t="n"/>
      <c r="AJ20" s="145" t="n"/>
      <c r="AK20" s="145" t="n"/>
      <c r="AL20" s="158">
        <f>SUM(G20:AK20)</f>
        <v/>
      </c>
      <c r="AM20" s="6" t="inlineStr">
        <is>
          <t>(B)</t>
        </is>
      </c>
      <c r="AN20" s="24" t="inlineStr">
        <is>
          <t>Số lượng đã khai tháng này 今月税関に申告された数量</t>
        </is>
      </c>
      <c r="AO20" s="26" t="n"/>
    </row>
    <row r="21" ht="56.25" customHeight="1" s="127" thickBot="1">
      <c r="A21" s="159" t="n"/>
      <c r="B21" s="109" t="inlineStr">
        <is>
          <t>NG数量（DO SUNG　社しゅり済）
số lượng NG (DO SUNG đã sửa )</t>
        </is>
      </c>
      <c r="C21" s="160" t="n"/>
      <c r="D21" s="160" t="n"/>
      <c r="E21" s="160" t="n"/>
      <c r="F21" s="161" t="n"/>
      <c r="G21" s="162" t="n"/>
      <c r="H21" s="162" t="n"/>
      <c r="I21" s="163" t="n"/>
      <c r="J21" s="164" t="n"/>
      <c r="K21" s="165" t="n"/>
      <c r="L21" s="164" t="n"/>
      <c r="M21" s="164" t="n"/>
      <c r="N21" s="164" t="n"/>
      <c r="O21" s="164" t="n"/>
      <c r="P21" s="164" t="n"/>
      <c r="Q21" s="164" t="n"/>
      <c r="R21" s="165" t="n"/>
      <c r="S21" s="164" t="n"/>
      <c r="T21" s="164" t="n"/>
      <c r="U21" s="164" t="n"/>
      <c r="V21" s="164" t="n"/>
      <c r="W21" s="164" t="n"/>
      <c r="X21" s="164" t="n"/>
      <c r="Y21" s="165" t="n"/>
      <c r="Z21" s="164" t="n"/>
      <c r="AA21" s="164" t="n"/>
      <c r="AB21" s="164" t="n"/>
      <c r="AC21" s="164" t="n"/>
      <c r="AD21" s="164" t="n"/>
      <c r="AE21" s="165" t="n"/>
      <c r="AF21" s="165" t="n"/>
      <c r="AG21" s="164" t="n"/>
      <c r="AH21" s="164" t="n"/>
      <c r="AI21" s="164" t="n"/>
      <c r="AJ21" s="165" t="n"/>
      <c r="AK21" s="165" t="n"/>
      <c r="AL21" s="166">
        <f>SUM(G21:AK21)</f>
        <v/>
      </c>
      <c r="AM21" s="6" t="inlineStr">
        <is>
          <t>(C)</t>
        </is>
      </c>
      <c r="AN21" s="24" t="inlineStr">
        <is>
          <t>Số lượng còn lại chưa khai 残りの数量はまだ税関に申告されていません</t>
        </is>
      </c>
      <c r="AO21" s="148">
        <f>AO19+AO18-AO20</f>
        <v/>
      </c>
    </row>
    <row r="22" ht="56.25" customHeight="1" s="127">
      <c r="A22" s="78" t="n"/>
      <c r="B22" s="79" t="n"/>
      <c r="C22" s="80" t="n"/>
      <c r="D22" s="80" t="n"/>
      <c r="E22" s="80" t="n"/>
      <c r="F22" s="80" t="n"/>
      <c r="G22" s="186" t="n"/>
      <c r="H22" s="186" t="n"/>
      <c r="I22" s="187" t="n"/>
      <c r="J22" s="188" t="n"/>
      <c r="K22" s="189" t="n"/>
      <c r="L22" s="188" t="n"/>
      <c r="M22" s="188" t="n"/>
      <c r="N22" s="188" t="n"/>
      <c r="O22" s="188" t="n"/>
      <c r="P22" s="188" t="n"/>
      <c r="Q22" s="188" t="n"/>
      <c r="R22" s="189" t="n"/>
      <c r="S22" s="188" t="n"/>
      <c r="T22" s="188" t="n"/>
      <c r="U22" s="188" t="n"/>
      <c r="V22" s="188" t="n"/>
      <c r="W22" s="188" t="n"/>
      <c r="X22" s="188" t="n"/>
      <c r="Y22" s="189" t="n"/>
      <c r="Z22" s="188" t="n"/>
      <c r="AA22" s="188" t="n"/>
      <c r="AB22" s="188" t="n"/>
      <c r="AC22" s="188" t="n"/>
      <c r="AD22" s="188" t="n"/>
      <c r="AE22" s="189" t="n"/>
      <c r="AF22" s="189" t="n"/>
      <c r="AG22" s="188" t="n"/>
      <c r="AH22" s="188" t="n"/>
      <c r="AI22" s="188" t="n"/>
      <c r="AJ22" s="189" t="n"/>
      <c r="AK22" s="189" t="n"/>
      <c r="AL22" s="190" t="n"/>
      <c r="AM22" s="6" t="n"/>
      <c r="AN22" s="77" t="n"/>
      <c r="AO22" s="168" t="n"/>
    </row>
    <row r="23" ht="21" customHeight="1" s="127" thickBot="1">
      <c r="B23" s="85" t="n">
        <v>2026</v>
      </c>
      <c r="D23" s="85" t="inlineStr">
        <is>
          <t>年</t>
        </is>
      </c>
      <c r="E23" s="85" t="n">
        <v>8</v>
      </c>
      <c r="F23" s="29" t="inlineStr">
        <is>
          <t>月</t>
        </is>
      </c>
      <c r="G23" s="8" t="n"/>
      <c r="H23" s="3" t="n"/>
      <c r="I23" s="3" t="n"/>
      <c r="J23" s="5" t="n"/>
      <c r="K23" s="5" t="n"/>
      <c r="L23" s="5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7" t="n"/>
    </row>
    <row r="24" ht="20.25" customFormat="1" customHeight="1" s="11">
      <c r="A24" s="173" t="inlineStr">
        <is>
          <t>mda0010 Woodone</t>
        </is>
      </c>
      <c r="B24" s="106" t="inlineStr">
        <is>
          <t>輸送</t>
        </is>
      </c>
      <c r="C24" s="129" t="n"/>
      <c r="D24" s="107" t="inlineStr">
        <is>
          <t>日</t>
        </is>
      </c>
      <c r="E24" s="130" t="n"/>
      <c r="F24" s="131" t="n"/>
      <c r="G24" s="132">
        <f>DATE(B23,E23,1)</f>
        <v/>
      </c>
      <c r="H24" s="132">
        <f>IF(G24="","",IF(DAY(G24+1)=1,"",G24+1))</f>
        <v/>
      </c>
      <c r="I24" s="132">
        <f>IF(H24="","",IF(DAY(H24+1)=1,"",H24+1))</f>
        <v/>
      </c>
      <c r="J24" s="132">
        <f>IF(I24="","",IF(DAY(I24+1)=1,"",I24+1))</f>
        <v/>
      </c>
      <c r="K24" s="132">
        <f>IF(J24="","",IF(DAY(J24+1)=1,"",J24+1))</f>
        <v/>
      </c>
      <c r="L24" s="132">
        <f>IF(K24="","",IF(DAY(K24+1)=1,"",K24+1))</f>
        <v/>
      </c>
      <c r="M24" s="132">
        <f>IF(L24="","",IF(DAY(L24+1)=1,"",L24+1))</f>
        <v/>
      </c>
      <c r="N24" s="132">
        <f>IF(M24="","",IF(DAY(M24+1)=1,"",M24+1))</f>
        <v/>
      </c>
      <c r="O24" s="132">
        <f>IF(N24="","",IF(DAY(N24+1)=1,"",N24+1))</f>
        <v/>
      </c>
      <c r="P24" s="132">
        <f>IF(O24="","",IF(DAY(O24+1)=1,"",O24+1))</f>
        <v/>
      </c>
      <c r="Q24" s="132">
        <f>IF(P24="","",IF(DAY(P24+1)=1,"",P24+1))</f>
        <v/>
      </c>
      <c r="R24" s="132">
        <f>IF(Q24="","",IF(DAY(Q24+1)=1,"",Q24+1))</f>
        <v/>
      </c>
      <c r="S24" s="132">
        <f>IF(R24="","",IF(DAY(R24+1)=1,"",R24+1))</f>
        <v/>
      </c>
      <c r="T24" s="132">
        <f>IF(S24="","",IF(DAY(S24+1)=1,"",S24+1))</f>
        <v/>
      </c>
      <c r="U24" s="132">
        <f>IF(T24="","",IF(DAY(T24+1)=1,"",T24+1))</f>
        <v/>
      </c>
      <c r="V24" s="132">
        <f>IF(U24="","",IF(DAY(U24+1)=1,"",U24+1))</f>
        <v/>
      </c>
      <c r="W24" s="132">
        <f>IF(V24="","",IF(DAY(V24+1)=1,"",V24+1))</f>
        <v/>
      </c>
      <c r="X24" s="132">
        <f>IF(W24="","",IF(DAY(W24+1)=1,"",W24+1))</f>
        <v/>
      </c>
      <c r="Y24" s="132">
        <f>IF(X24="","",IF(DAY(X24+1)=1,"",X24+1))</f>
        <v/>
      </c>
      <c r="Z24" s="132">
        <f>IF(Y24="","",IF(DAY(Y24+1)=1,"",Y24+1))</f>
        <v/>
      </c>
      <c r="AA24" s="132">
        <f>IF(Z24="","",IF(DAY(Z24+1)=1,"",Z24+1))</f>
        <v/>
      </c>
      <c r="AB24" s="132">
        <f>IF(AA24="","",IF(DAY(AA24+1)=1,"",AA24+1))</f>
        <v/>
      </c>
      <c r="AC24" s="132">
        <f>IF(AB24="","",IF(DAY(AB24+1)=1,"",AB24+1))</f>
        <v/>
      </c>
      <c r="AD24" s="132">
        <f>IF(AC24="","",IF(DAY(AC24+1)=1,"",AC24+1))</f>
        <v/>
      </c>
      <c r="AE24" s="132">
        <f>IF(AD24="","",IF(DAY(AD24+1)=1,"",AD24+1))</f>
        <v/>
      </c>
      <c r="AF24" s="132">
        <f>IF(AE24="","",IF(DAY(AE24+1)=1,"",AE24+1))</f>
        <v/>
      </c>
      <c r="AG24" s="132">
        <f>IF(AF24="","",IF(DAY(AF24+1)=1,"",AF24+1))</f>
        <v/>
      </c>
      <c r="AH24" s="132">
        <f>IF(AG24="","",IF(DAY(AG24+1)=1,"",AG24+1))</f>
        <v/>
      </c>
      <c r="AI24" s="132">
        <f>IF(AH24="","",IF(DAY(AH24+1)=1,"",AH24+1))</f>
        <v/>
      </c>
      <c r="AJ24" s="132">
        <f>IF(AI24="","",IF(DAY(AI24+1)=1,"",AI24+1))</f>
        <v/>
      </c>
      <c r="AK24" s="132">
        <f>IF(AJ24="","",IF(DAY(AJ24+1)=1,"",AJ24+1))</f>
        <v/>
      </c>
      <c r="AL24" s="133" t="inlineStr">
        <is>
          <t>Total</t>
        </is>
      </c>
      <c r="AM24" s="7" t="n"/>
      <c r="AN24" s="21" t="n"/>
      <c r="AO24" s="20" t="n"/>
    </row>
    <row r="25" ht="20.25" customFormat="1" customHeight="1" s="11">
      <c r="A25" s="134" t="n"/>
      <c r="B25" s="135" t="n"/>
      <c r="C25" s="136" t="n"/>
      <c r="D25" s="102" t="inlineStr">
        <is>
          <t>時間</t>
        </is>
      </c>
      <c r="E25" s="137" t="n"/>
      <c r="F25" s="138" t="n"/>
      <c r="G25" s="139">
        <f>+G24</f>
        <v/>
      </c>
      <c r="H25" s="139">
        <f>+H24</f>
        <v/>
      </c>
      <c r="I25" s="139">
        <f>+I24</f>
        <v/>
      </c>
      <c r="J25" s="139">
        <f>+J24</f>
        <v/>
      </c>
      <c r="K25" s="139">
        <f>+K24</f>
        <v/>
      </c>
      <c r="L25" s="139">
        <f>+L24</f>
        <v/>
      </c>
      <c r="M25" s="139">
        <f>+M24</f>
        <v/>
      </c>
      <c r="N25" s="139">
        <f>+N24</f>
        <v/>
      </c>
      <c r="O25" s="139">
        <f>+O24</f>
        <v/>
      </c>
      <c r="P25" s="139">
        <f>+P24</f>
        <v/>
      </c>
      <c r="Q25" s="139">
        <f>+Q24</f>
        <v/>
      </c>
      <c r="R25" s="139">
        <f>+R24</f>
        <v/>
      </c>
      <c r="S25" s="139">
        <f>+S24</f>
        <v/>
      </c>
      <c r="T25" s="139">
        <f>+T24</f>
        <v/>
      </c>
      <c r="U25" s="139">
        <f>+U24</f>
        <v/>
      </c>
      <c r="V25" s="139">
        <f>+V24</f>
        <v/>
      </c>
      <c r="W25" s="139">
        <f>+W24</f>
        <v/>
      </c>
      <c r="X25" s="139">
        <f>+X24</f>
        <v/>
      </c>
      <c r="Y25" s="139">
        <f>+Y24</f>
        <v/>
      </c>
      <c r="Z25" s="139">
        <f>+Z24</f>
        <v/>
      </c>
      <c r="AA25" s="139">
        <f>+AA24</f>
        <v/>
      </c>
      <c r="AB25" s="139">
        <f>+AB24</f>
        <v/>
      </c>
      <c r="AC25" s="139">
        <f>+AC24</f>
        <v/>
      </c>
      <c r="AD25" s="139">
        <f>+AD24</f>
        <v/>
      </c>
      <c r="AE25" s="139">
        <f>+AE24</f>
        <v/>
      </c>
      <c r="AF25" s="139">
        <f>+AF24</f>
        <v/>
      </c>
      <c r="AG25" s="139">
        <f>+AG24</f>
        <v/>
      </c>
      <c r="AH25" s="139">
        <f>+AH24</f>
        <v/>
      </c>
      <c r="AI25" s="139">
        <f>+AI24</f>
        <v/>
      </c>
      <c r="AJ25" s="139">
        <f>+AJ24</f>
        <v/>
      </c>
      <c r="AK25" s="139">
        <f>+AK24</f>
        <v/>
      </c>
      <c r="AL25" s="140" t="n"/>
      <c r="AN25" s="21" t="n"/>
      <c r="AO25" s="20" t="n"/>
    </row>
    <row r="26" ht="56.25" customFormat="1" customHeight="1" s="11">
      <c r="A26" s="134" t="n"/>
      <c r="B26" s="174" t="inlineStr">
        <is>
          <t>PO 注文書</t>
        </is>
      </c>
      <c r="C26" s="142" t="n"/>
      <c r="D26" s="142" t="n"/>
      <c r="E26" s="142" t="n"/>
      <c r="F26" s="143" t="n"/>
      <c r="G26" s="144" t="n"/>
      <c r="H26" s="145" t="n"/>
      <c r="I26" s="144" t="n"/>
      <c r="J26" s="145" t="n"/>
      <c r="K26" s="145" t="n"/>
      <c r="L26" s="145" t="n"/>
      <c r="M26" s="145" t="n"/>
      <c r="N26" s="145" t="n"/>
      <c r="O26" s="145" t="n"/>
      <c r="P26" s="145" t="n"/>
      <c r="Q26" s="145" t="n"/>
      <c r="R26" s="145" t="n"/>
      <c r="S26" s="145" t="n"/>
      <c r="T26" s="145" t="n"/>
      <c r="U26" s="145" t="n"/>
      <c r="V26" s="145" t="n"/>
      <c r="W26" s="145" t="n"/>
      <c r="X26" s="145" t="n"/>
      <c r="Y26" s="145" t="n"/>
      <c r="Z26" s="145" t="n"/>
      <c r="AA26" s="145" t="n"/>
      <c r="AB26" s="145" t="n"/>
      <c r="AC26" s="145" t="n"/>
      <c r="AD26" s="145" t="n"/>
      <c r="AE26" s="145" t="n"/>
      <c r="AF26" s="145" t="n"/>
      <c r="AG26" s="145" t="n"/>
      <c r="AH26" s="145" t="n"/>
      <c r="AI26" s="145" t="n"/>
      <c r="AJ26" s="145" t="n"/>
      <c r="AK26" s="145" t="n"/>
      <c r="AL26" s="146">
        <f>SUM(G26:AK26)</f>
        <v/>
      </c>
      <c r="AN26" s="147" t="inlineStr">
        <is>
          <t>Tồn PO
注文の 残量</t>
        </is>
      </c>
      <c r="AO26" s="148">
        <f>4061</f>
        <v/>
      </c>
    </row>
    <row r="27" ht="56.25" customHeight="1" s="127">
      <c r="A27" s="134" t="n"/>
      <c r="B27" s="111" t="inlineStr">
        <is>
          <t xml:space="preserve">計画数量
kế hoạch </t>
        </is>
      </c>
      <c r="C27" s="149" t="n"/>
      <c r="D27" s="149" t="n"/>
      <c r="E27" s="149" t="n"/>
      <c r="F27" s="150" t="n"/>
      <c r="G27" s="144" t="n"/>
      <c r="H27" s="144" t="n"/>
      <c r="I27" s="144" t="n"/>
      <c r="J27" s="145" t="n"/>
      <c r="K27" s="145" t="n"/>
      <c r="L27" s="145" t="n"/>
      <c r="M27" s="145" t="n"/>
      <c r="N27" s="145" t="n"/>
      <c r="O27" s="145" t="n"/>
      <c r="P27" s="145" t="n"/>
      <c r="Q27" s="145" t="n"/>
      <c r="R27" s="145" t="n"/>
      <c r="S27" s="145" t="n"/>
      <c r="T27" s="145" t="n"/>
      <c r="U27" s="145" t="n"/>
      <c r="V27" s="145" t="n"/>
      <c r="W27" s="145" t="n"/>
      <c r="X27" s="145" t="n"/>
      <c r="Y27" s="145" t="n"/>
      <c r="Z27" s="145" t="n"/>
      <c r="AA27" s="145" t="n"/>
      <c r="AB27" s="145" t="n"/>
      <c r="AC27" s="145" t="n"/>
      <c r="AD27" s="145" t="n"/>
      <c r="AE27" s="145" t="n"/>
      <c r="AF27" s="145" t="n"/>
      <c r="AG27" s="145" t="n"/>
      <c r="AH27" s="145" t="n"/>
      <c r="AI27" s="145" t="n"/>
      <c r="AJ27" s="145" t="n"/>
      <c r="AK27" s="145" t="n"/>
      <c r="AL27" s="151">
        <f>SUM(G27:AK27)</f>
        <v/>
      </c>
      <c r="AM27" s="0" t="n"/>
      <c r="AN27" s="24" t="inlineStr">
        <is>
          <t>Tổng nhập 総入荷数量
（A)-(B)+(C)</t>
        </is>
      </c>
      <c r="AO27" s="152">
        <f>AL28-AL29+AL30</f>
        <v/>
      </c>
    </row>
    <row r="28" ht="56.25" customHeight="1" s="127">
      <c r="A28" s="134" t="n"/>
      <c r="B28" s="111" t="inlineStr">
        <is>
          <t>実際の納品数量
số lượng thực nhập</t>
        </is>
      </c>
      <c r="C28" s="149" t="n"/>
      <c r="D28" s="149" t="n"/>
      <c r="E28" s="149" t="n"/>
      <c r="F28" s="150" t="n"/>
      <c r="G28" s="153" t="n"/>
      <c r="H28" s="153" t="n"/>
      <c r="I28" s="154" t="n"/>
      <c r="J28" s="155" t="n"/>
      <c r="K28" s="156" t="n"/>
      <c r="L28" s="156" t="n"/>
      <c r="M28" s="155" t="n"/>
      <c r="N28" s="155" t="n"/>
      <c r="O28" s="155" t="n"/>
      <c r="P28" s="155" t="n"/>
      <c r="Q28" s="156" t="n"/>
      <c r="R28" s="156" t="n"/>
      <c r="S28" s="156" t="n"/>
      <c r="T28" s="156" t="n"/>
      <c r="U28" s="156" t="n"/>
      <c r="V28" s="156" t="n"/>
      <c r="W28" s="156" t="n"/>
      <c r="X28" s="156" t="n"/>
      <c r="Y28" s="156" t="n"/>
      <c r="Z28" s="156" t="n"/>
      <c r="AA28" s="156" t="n"/>
      <c r="AB28" s="156" t="n"/>
      <c r="AC28" s="155" t="n"/>
      <c r="AD28" s="155" t="n"/>
      <c r="AE28" s="156" t="n"/>
      <c r="AF28" s="156" t="n"/>
      <c r="AG28" s="155" t="n"/>
      <c r="AH28" s="155" t="n"/>
      <c r="AI28" s="156" t="n"/>
      <c r="AJ28" s="156" t="n"/>
      <c r="AK28" s="156" t="n"/>
      <c r="AL28" s="157">
        <f>SUM(G28:AK28)</f>
        <v/>
      </c>
      <c r="AM28" s="6" t="inlineStr">
        <is>
          <t>(A)</t>
        </is>
      </c>
      <c r="AN28" s="24" t="inlineStr">
        <is>
          <t>Số lượng chưa khai tháng trước 先月まだ税関に申告されていない数量</t>
        </is>
      </c>
      <c r="AO28" s="148">
        <f>AO21</f>
        <v/>
      </c>
    </row>
    <row r="29" ht="56.25" customHeight="1" s="127">
      <c r="A29" s="134" t="n"/>
      <c r="B29" s="111" t="inlineStr">
        <is>
          <t>NG数量（DO SUNG 社変更済）
số lượng NG (Trả hàng DO SUNG)</t>
        </is>
      </c>
      <c r="C29" s="149" t="n"/>
      <c r="D29" s="149" t="n"/>
      <c r="E29" s="149" t="n"/>
      <c r="F29" s="150" t="n"/>
      <c r="G29" s="144" t="n"/>
      <c r="H29" s="144" t="n"/>
      <c r="I29" s="144" t="n"/>
      <c r="J29" s="145" t="n"/>
      <c r="K29" s="145" t="n"/>
      <c r="L29" s="145" t="n"/>
      <c r="M29" s="145" t="n"/>
      <c r="N29" s="145" t="n"/>
      <c r="O29" s="145" t="n"/>
      <c r="P29" s="145" t="n"/>
      <c r="Q29" s="145" t="n"/>
      <c r="R29" s="145" t="n"/>
      <c r="S29" s="145" t="n"/>
      <c r="T29" s="145" t="n"/>
      <c r="U29" s="145" t="n"/>
      <c r="V29" s="145" t="n"/>
      <c r="W29" s="145" t="n"/>
      <c r="X29" s="145" t="n"/>
      <c r="Y29" s="145" t="n"/>
      <c r="Z29" s="145" t="n"/>
      <c r="AA29" s="145" t="n"/>
      <c r="AB29" s="145" t="n"/>
      <c r="AC29" s="145" t="n"/>
      <c r="AD29" s="145" t="n"/>
      <c r="AE29" s="145" t="n"/>
      <c r="AF29" s="145" t="n"/>
      <c r="AG29" s="145" t="n"/>
      <c r="AH29" s="145" t="n"/>
      <c r="AI29" s="145" t="n"/>
      <c r="AJ29" s="145" t="n"/>
      <c r="AK29" s="145" t="n"/>
      <c r="AL29" s="158">
        <f>SUM(G29:AK29)</f>
        <v/>
      </c>
      <c r="AM29" s="6" t="inlineStr">
        <is>
          <t>(B)</t>
        </is>
      </c>
      <c r="AN29" s="24" t="inlineStr">
        <is>
          <t>Số lượng đã khai tháng này 今月税関に申告された数量</t>
        </is>
      </c>
      <c r="AO29" s="26" t="n"/>
    </row>
    <row r="30" ht="56.25" customHeight="1" s="127" thickBot="1">
      <c r="A30" s="159" t="n"/>
      <c r="B30" s="109" t="inlineStr">
        <is>
          <t>NG数量（DO SUNG　社しゅり済）
số lượng NG (DO SUNG đã sửa )</t>
        </is>
      </c>
      <c r="C30" s="160" t="n"/>
      <c r="D30" s="160" t="n"/>
      <c r="E30" s="160" t="n"/>
      <c r="F30" s="161" t="n"/>
      <c r="G30" s="162" t="n"/>
      <c r="H30" s="162" t="n"/>
      <c r="I30" s="163" t="n"/>
      <c r="J30" s="164" t="n"/>
      <c r="K30" s="165" t="n"/>
      <c r="L30" s="164" t="n"/>
      <c r="M30" s="164" t="n"/>
      <c r="N30" s="164" t="n"/>
      <c r="O30" s="164" t="n"/>
      <c r="P30" s="164" t="n"/>
      <c r="Q30" s="164" t="n"/>
      <c r="R30" s="165" t="n"/>
      <c r="S30" s="164" t="n"/>
      <c r="T30" s="164" t="n"/>
      <c r="U30" s="164" t="n"/>
      <c r="V30" s="164" t="n"/>
      <c r="W30" s="164" t="n"/>
      <c r="X30" s="164" t="n"/>
      <c r="Y30" s="165" t="n"/>
      <c r="Z30" s="164" t="n"/>
      <c r="AA30" s="164" t="n"/>
      <c r="AB30" s="164" t="n"/>
      <c r="AC30" s="164" t="n"/>
      <c r="AD30" s="164" t="n"/>
      <c r="AE30" s="165" t="n"/>
      <c r="AF30" s="165" t="n"/>
      <c r="AG30" s="164" t="n">
        <v>2200</v>
      </c>
      <c r="AH30" s="164" t="n"/>
      <c r="AI30" s="164" t="n"/>
      <c r="AJ30" s="165" t="n"/>
      <c r="AK30" s="165" t="n"/>
      <c r="AL30" s="166">
        <f>SUM(G30:AK30)</f>
        <v/>
      </c>
      <c r="AM30" s="6" t="inlineStr">
        <is>
          <t>(C)</t>
        </is>
      </c>
      <c r="AN30" s="24" t="inlineStr">
        <is>
          <t>Số lượng còn lại chưa khai 残りの数量はまだ税関に申告されていません</t>
        </is>
      </c>
      <c r="AO30" s="148">
        <f>AO28+AO27-AO29</f>
        <v/>
      </c>
    </row>
    <row r="33" ht="21" customHeight="1" s="127" thickBot="1">
      <c r="B33" s="85" t="n">
        <v>2026</v>
      </c>
      <c r="D33" s="85" t="inlineStr">
        <is>
          <t>年</t>
        </is>
      </c>
      <c r="E33" s="85" t="n">
        <v>9</v>
      </c>
      <c r="F33" s="29" t="inlineStr">
        <is>
          <t>月</t>
        </is>
      </c>
      <c r="G33" s="8" t="n"/>
      <c r="H33" s="3" t="n"/>
      <c r="I33" s="3" t="n"/>
      <c r="J33" s="5" t="n"/>
      <c r="K33" s="5" t="n"/>
      <c r="L33" s="5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7" t="n"/>
    </row>
    <row r="34" ht="20.25" customFormat="1" customHeight="1" s="11">
      <c r="A34" s="173" t="inlineStr">
        <is>
          <t>mda0010 Woodone</t>
        </is>
      </c>
      <c r="B34" s="106" t="inlineStr">
        <is>
          <t>輸送</t>
        </is>
      </c>
      <c r="C34" s="129" t="n"/>
      <c r="D34" s="107" t="inlineStr">
        <is>
          <t>日</t>
        </is>
      </c>
      <c r="E34" s="130" t="n"/>
      <c r="F34" s="131" t="n"/>
      <c r="G34" s="132">
        <f>DATE(B33,E33,1)</f>
        <v/>
      </c>
      <c r="H34" s="132">
        <f>IF(G34="","",IF(DAY(G34+1)=1,"",G34+1))</f>
        <v/>
      </c>
      <c r="I34" s="132">
        <f>IF(H34="","",IF(DAY(H34+1)=1,"",H34+1))</f>
        <v/>
      </c>
      <c r="J34" s="132">
        <f>IF(I34="","",IF(DAY(I34+1)=1,"",I34+1))</f>
        <v/>
      </c>
      <c r="K34" s="132">
        <f>IF(J34="","",IF(DAY(J34+1)=1,"",J34+1))</f>
        <v/>
      </c>
      <c r="L34" s="132">
        <f>IF(K34="","",IF(DAY(K34+1)=1,"",K34+1))</f>
        <v/>
      </c>
      <c r="M34" s="132">
        <f>IF(L34="","",IF(DAY(L34+1)=1,"",L34+1))</f>
        <v/>
      </c>
      <c r="N34" s="132">
        <f>IF(M34="","",IF(DAY(M34+1)=1,"",M34+1))</f>
        <v/>
      </c>
      <c r="O34" s="132">
        <f>IF(N34="","",IF(DAY(N34+1)=1,"",N34+1))</f>
        <v/>
      </c>
      <c r="P34" s="132">
        <f>IF(O34="","",IF(DAY(O34+1)=1,"",O34+1))</f>
        <v/>
      </c>
      <c r="Q34" s="132">
        <f>IF(P34="","",IF(DAY(P34+1)=1,"",P34+1))</f>
        <v/>
      </c>
      <c r="R34" s="132">
        <f>IF(Q34="","",IF(DAY(Q34+1)=1,"",Q34+1))</f>
        <v/>
      </c>
      <c r="S34" s="132">
        <f>IF(R34="","",IF(DAY(R34+1)=1,"",R34+1))</f>
        <v/>
      </c>
      <c r="T34" s="132">
        <f>IF(S34="","",IF(DAY(S34+1)=1,"",S34+1))</f>
        <v/>
      </c>
      <c r="U34" s="132">
        <f>IF(T34="","",IF(DAY(T34+1)=1,"",T34+1))</f>
        <v/>
      </c>
      <c r="V34" s="132">
        <f>IF(U34="","",IF(DAY(U34+1)=1,"",U34+1))</f>
        <v/>
      </c>
      <c r="W34" s="132">
        <f>IF(V34="","",IF(DAY(V34+1)=1,"",V34+1))</f>
        <v/>
      </c>
      <c r="X34" s="132">
        <f>IF(W34="","",IF(DAY(W34+1)=1,"",W34+1))</f>
        <v/>
      </c>
      <c r="Y34" s="132">
        <f>IF(X34="","",IF(DAY(X34+1)=1,"",X34+1))</f>
        <v/>
      </c>
      <c r="Z34" s="132">
        <f>IF(Y34="","",IF(DAY(Y34+1)=1,"",Y34+1))</f>
        <v/>
      </c>
      <c r="AA34" s="132">
        <f>IF(Z34="","",IF(DAY(Z34+1)=1,"",Z34+1))</f>
        <v/>
      </c>
      <c r="AB34" s="132">
        <f>IF(AA34="","",IF(DAY(AA34+1)=1,"",AA34+1))</f>
        <v/>
      </c>
      <c r="AC34" s="132">
        <f>IF(AB34="","",IF(DAY(AB34+1)=1,"",AB34+1))</f>
        <v/>
      </c>
      <c r="AD34" s="132">
        <f>IF(AC34="","",IF(DAY(AC34+1)=1,"",AC34+1))</f>
        <v/>
      </c>
      <c r="AE34" s="132">
        <f>IF(AD34="","",IF(DAY(AD34+1)=1,"",AD34+1))</f>
        <v/>
      </c>
      <c r="AF34" s="132">
        <f>IF(AE34="","",IF(DAY(AE34+1)=1,"",AE34+1))</f>
        <v/>
      </c>
      <c r="AG34" s="132">
        <f>IF(AF34="","",IF(DAY(AF34+1)=1,"",AF34+1))</f>
        <v/>
      </c>
      <c r="AH34" s="132">
        <f>IF(AG34="","",IF(DAY(AG34+1)=1,"",AG34+1))</f>
        <v/>
      </c>
      <c r="AI34" s="132">
        <f>IF(AH34="","",IF(DAY(AH34+1)=1,"",AH34+1))</f>
        <v/>
      </c>
      <c r="AJ34" s="132">
        <f>IF(AI34="","",IF(DAY(AI34+1)=1,"",AI34+1))</f>
        <v/>
      </c>
      <c r="AK34" s="132">
        <f>IF(AJ34="","",IF(DAY(AJ34+1)=1,"",AJ34+1))</f>
        <v/>
      </c>
      <c r="AL34" s="133" t="inlineStr">
        <is>
          <t>Total</t>
        </is>
      </c>
      <c r="AM34" s="7" t="n"/>
      <c r="AN34" s="21" t="n"/>
      <c r="AO34" s="20" t="n"/>
    </row>
    <row r="35" ht="20.25" customFormat="1" customHeight="1" s="11">
      <c r="A35" s="134" t="n"/>
      <c r="B35" s="135" t="n"/>
      <c r="C35" s="136" t="n"/>
      <c r="D35" s="102" t="inlineStr">
        <is>
          <t>時間</t>
        </is>
      </c>
      <c r="E35" s="137" t="n"/>
      <c r="F35" s="138" t="n"/>
      <c r="G35" s="139">
        <f>+G34</f>
        <v/>
      </c>
      <c r="H35" s="139">
        <f>+H34</f>
        <v/>
      </c>
      <c r="I35" s="139">
        <f>+I34</f>
        <v/>
      </c>
      <c r="J35" s="139">
        <f>+J34</f>
        <v/>
      </c>
      <c r="K35" s="139">
        <f>+K34</f>
        <v/>
      </c>
      <c r="L35" s="139">
        <f>+L34</f>
        <v/>
      </c>
      <c r="M35" s="139">
        <f>+M34</f>
        <v/>
      </c>
      <c r="N35" s="139">
        <f>+N34</f>
        <v/>
      </c>
      <c r="O35" s="139">
        <f>+O34</f>
        <v/>
      </c>
      <c r="P35" s="139">
        <f>+P34</f>
        <v/>
      </c>
      <c r="Q35" s="139">
        <f>+Q34</f>
        <v/>
      </c>
      <c r="R35" s="139">
        <f>+R34</f>
        <v/>
      </c>
      <c r="S35" s="139">
        <f>+S34</f>
        <v/>
      </c>
      <c r="T35" s="139">
        <f>+T34</f>
        <v/>
      </c>
      <c r="U35" s="139">
        <f>+U34</f>
        <v/>
      </c>
      <c r="V35" s="139">
        <f>+V34</f>
        <v/>
      </c>
      <c r="W35" s="139">
        <f>+W34</f>
        <v/>
      </c>
      <c r="X35" s="139">
        <f>+X34</f>
        <v/>
      </c>
      <c r="Y35" s="139">
        <f>+Y34</f>
        <v/>
      </c>
      <c r="Z35" s="139">
        <f>+Z34</f>
        <v/>
      </c>
      <c r="AA35" s="139">
        <f>+AA34</f>
        <v/>
      </c>
      <c r="AB35" s="139">
        <f>+AB34</f>
        <v/>
      </c>
      <c r="AC35" s="139">
        <f>+AC34</f>
        <v/>
      </c>
      <c r="AD35" s="139">
        <f>+AD34</f>
        <v/>
      </c>
      <c r="AE35" s="139">
        <f>+AE34</f>
        <v/>
      </c>
      <c r="AF35" s="139">
        <f>+AF34</f>
        <v/>
      </c>
      <c r="AG35" s="139">
        <f>+AG34</f>
        <v/>
      </c>
      <c r="AH35" s="139">
        <f>+AH34</f>
        <v/>
      </c>
      <c r="AI35" s="139">
        <f>+AI34</f>
        <v/>
      </c>
      <c r="AJ35" s="139">
        <f>+AJ34</f>
        <v/>
      </c>
      <c r="AK35" s="139">
        <f>+AK34</f>
        <v/>
      </c>
      <c r="AL35" s="140" t="n"/>
      <c r="AN35" s="21" t="n"/>
      <c r="AO35" s="20" t="n"/>
    </row>
    <row r="36" ht="56.25" customFormat="1" customHeight="1" s="11">
      <c r="A36" s="134" t="n"/>
      <c r="B36" s="174" t="inlineStr">
        <is>
          <t>PO 注文書</t>
        </is>
      </c>
      <c r="C36" s="142" t="n"/>
      <c r="D36" s="142" t="n"/>
      <c r="E36" s="142" t="n"/>
      <c r="F36" s="143" t="n"/>
      <c r="G36" s="144" t="n"/>
      <c r="H36" s="145" t="n"/>
      <c r="I36" s="144" t="n"/>
      <c r="J36" s="145" t="n"/>
      <c r="K36" s="145" t="n"/>
      <c r="L36" s="145" t="n"/>
      <c r="M36" s="145" t="n"/>
      <c r="N36" s="145" t="n"/>
      <c r="O36" s="145" t="n"/>
      <c r="P36" s="145" t="n"/>
      <c r="Q36" s="145" t="n"/>
      <c r="R36" s="145" t="n"/>
      <c r="S36" s="145" t="n"/>
      <c r="T36" s="145" t="n"/>
      <c r="U36" s="145" t="n"/>
      <c r="V36" s="145" t="n"/>
      <c r="W36" s="145" t="n"/>
      <c r="X36" s="145" t="n"/>
      <c r="Y36" s="145" t="n"/>
      <c r="Z36" s="145" t="n"/>
      <c r="AA36" s="145" t="n"/>
      <c r="AB36" s="145" t="n"/>
      <c r="AC36" s="145" t="n"/>
      <c r="AD36" s="145" t="n"/>
      <c r="AE36" s="145" t="n"/>
      <c r="AF36" s="145" t="n"/>
      <c r="AG36" s="145" t="n"/>
      <c r="AH36" s="145" t="n"/>
      <c r="AI36" s="145" t="n"/>
      <c r="AJ36" s="145" t="n"/>
      <c r="AK36" s="145" t="n"/>
      <c r="AL36" s="146">
        <f>SUM(G36:AK36)</f>
        <v/>
      </c>
      <c r="AN36" s="147" t="inlineStr">
        <is>
          <t>Tồn PO
注文の 残量</t>
        </is>
      </c>
      <c r="AO36" s="148" t="n">
        <v>1861</v>
      </c>
    </row>
    <row r="37" ht="56.25" customHeight="1" s="127">
      <c r="A37" s="134" t="n"/>
      <c r="B37" s="111" t="inlineStr">
        <is>
          <t xml:space="preserve">計画数量
kế hoạch </t>
        </is>
      </c>
      <c r="C37" s="149" t="n"/>
      <c r="D37" s="149" t="n"/>
      <c r="E37" s="149" t="n"/>
      <c r="F37" s="150" t="n"/>
      <c r="G37" s="144" t="n"/>
      <c r="H37" s="144" t="n"/>
      <c r="I37" s="144" t="n"/>
      <c r="J37" s="145" t="n"/>
      <c r="K37" s="145" t="n"/>
      <c r="L37" s="145" t="n"/>
      <c r="M37" s="145" t="n"/>
      <c r="N37" s="145" t="n"/>
      <c r="O37" s="145" t="n"/>
      <c r="P37" s="145" t="n">
        <v>1861</v>
      </c>
      <c r="Q37" s="145" t="n"/>
      <c r="R37" s="145" t="n"/>
      <c r="S37" s="145" t="n"/>
      <c r="T37" s="145" t="n"/>
      <c r="U37" s="145" t="n"/>
      <c r="V37" s="145" t="n"/>
      <c r="W37" s="145" t="n"/>
      <c r="X37" s="145" t="n"/>
      <c r="Y37" s="145" t="n"/>
      <c r="Z37" s="145" t="n"/>
      <c r="AA37" s="145" t="n"/>
      <c r="AB37" s="145" t="n"/>
      <c r="AC37" s="145" t="n"/>
      <c r="AD37" s="145" t="n"/>
      <c r="AE37" s="145" t="n"/>
      <c r="AF37" s="145" t="n"/>
      <c r="AG37" s="145" t="n"/>
      <c r="AH37" s="145" t="n"/>
      <c r="AI37" s="145" t="n"/>
      <c r="AJ37" s="145" t="n"/>
      <c r="AK37" s="145" t="n"/>
      <c r="AL37" s="151">
        <f>SUM(G37:AK37)</f>
        <v/>
      </c>
      <c r="AM37" s="0" t="n"/>
      <c r="AN37" s="24" t="inlineStr">
        <is>
          <t>Tổng nhập 総入荷数量
（A)-(B)+(C)</t>
        </is>
      </c>
      <c r="AO37" s="152">
        <f>AL38-AL39+AL40</f>
        <v/>
      </c>
    </row>
    <row r="38" ht="56.25" customHeight="1" s="127">
      <c r="A38" s="134" t="n"/>
      <c r="B38" s="111" t="inlineStr">
        <is>
          <t>実際の納品数量
số lượng thực nhập</t>
        </is>
      </c>
      <c r="C38" s="149" t="n"/>
      <c r="D38" s="149" t="n"/>
      <c r="E38" s="149" t="n"/>
      <c r="F38" s="150" t="n"/>
      <c r="G38" s="153" t="n"/>
      <c r="H38" s="153" t="n"/>
      <c r="I38" s="154" t="n"/>
      <c r="J38" s="155" t="n"/>
      <c r="K38" s="156" t="n"/>
      <c r="L38" s="156" t="n"/>
      <c r="M38" s="155" t="n"/>
      <c r="N38" s="155" t="n"/>
      <c r="O38" s="155" t="n"/>
      <c r="P38" s="155" t="n"/>
      <c r="Q38" s="156" t="n"/>
      <c r="R38" s="156" t="n"/>
      <c r="S38" s="156" t="n"/>
      <c r="T38" s="156" t="n"/>
      <c r="U38" s="156" t="n"/>
      <c r="V38" s="156" t="n"/>
      <c r="W38" s="156" t="n"/>
      <c r="X38" s="156" t="n"/>
      <c r="Y38" s="156" t="n"/>
      <c r="Z38" s="156" t="n"/>
      <c r="AA38" s="156" t="n"/>
      <c r="AB38" s="156" t="n"/>
      <c r="AC38" s="155" t="n"/>
      <c r="AD38" s="155" t="n"/>
      <c r="AE38" s="156" t="n"/>
      <c r="AF38" s="156" t="n"/>
      <c r="AG38" s="155" t="n"/>
      <c r="AH38" s="155" t="n"/>
      <c r="AI38" s="156" t="n"/>
      <c r="AJ38" s="156" t="n"/>
      <c r="AK38" s="156" t="n"/>
      <c r="AL38" s="157">
        <f>SUM(G38:AK38)</f>
        <v/>
      </c>
      <c r="AM38" s="6" t="inlineStr">
        <is>
          <t>(A)</t>
        </is>
      </c>
      <c r="AN38" s="24" t="inlineStr">
        <is>
          <t>Số lượng chưa khai tháng trước 先月まだ税関に申告されていない数量</t>
        </is>
      </c>
      <c r="AO38" s="148">
        <f>AO31</f>
        <v/>
      </c>
    </row>
    <row r="39" ht="56.25" customHeight="1" s="127">
      <c r="A39" s="134" t="n"/>
      <c r="B39" s="111" t="inlineStr">
        <is>
          <t>NG数量（DO SUNG 社変更済）
số lượng NG (Trả hàng DO SUNG)</t>
        </is>
      </c>
      <c r="C39" s="149" t="n"/>
      <c r="D39" s="149" t="n"/>
      <c r="E39" s="149" t="n"/>
      <c r="F39" s="150" t="n"/>
      <c r="G39" s="144" t="n"/>
      <c r="H39" s="144" t="n"/>
      <c r="I39" s="144" t="n"/>
      <c r="J39" s="145" t="n"/>
      <c r="K39" s="145" t="n"/>
      <c r="L39" s="145" t="n"/>
      <c r="M39" s="145" t="n"/>
      <c r="N39" s="145" t="n"/>
      <c r="O39" s="145" t="n"/>
      <c r="P39" s="145" t="n"/>
      <c r="Q39" s="145" t="n"/>
      <c r="R39" s="145" t="n"/>
      <c r="S39" s="145" t="n"/>
      <c r="T39" s="145" t="n"/>
      <c r="U39" s="145" t="n"/>
      <c r="V39" s="145" t="n"/>
      <c r="W39" s="145" t="n"/>
      <c r="X39" s="145" t="n"/>
      <c r="Y39" s="145" t="n"/>
      <c r="Z39" s="145" t="n"/>
      <c r="AA39" s="145" t="n"/>
      <c r="AB39" s="145" t="n"/>
      <c r="AC39" s="145" t="n"/>
      <c r="AD39" s="145" t="n"/>
      <c r="AE39" s="145" t="n"/>
      <c r="AF39" s="145" t="n"/>
      <c r="AG39" s="145" t="n"/>
      <c r="AH39" s="145" t="n"/>
      <c r="AI39" s="145" t="n"/>
      <c r="AJ39" s="145" t="n"/>
      <c r="AK39" s="145" t="n"/>
      <c r="AL39" s="158">
        <f>SUM(G39:AK39)</f>
        <v/>
      </c>
      <c r="AM39" s="6" t="inlineStr">
        <is>
          <t>(B)</t>
        </is>
      </c>
      <c r="AN39" s="24" t="inlineStr">
        <is>
          <t>Số lượng đã khai tháng này 今月税関に申告された数量</t>
        </is>
      </c>
      <c r="AO39" s="26" t="n"/>
    </row>
    <row r="40" ht="56.25" customHeight="1" s="127" thickBot="1">
      <c r="A40" s="159" t="n"/>
      <c r="B40" s="109" t="inlineStr">
        <is>
          <t>NG数量（DO SUNG　社しゅり済）
số lượng NG (DO SUNG đã sửa )</t>
        </is>
      </c>
      <c r="C40" s="160" t="n"/>
      <c r="D40" s="160" t="n"/>
      <c r="E40" s="160" t="n"/>
      <c r="F40" s="161" t="n"/>
      <c r="G40" s="162" t="n"/>
      <c r="H40" s="162" t="n"/>
      <c r="I40" s="163" t="n"/>
      <c r="J40" s="164" t="n"/>
      <c r="K40" s="165" t="n"/>
      <c r="L40" s="164" t="n"/>
      <c r="M40" s="164" t="n"/>
      <c r="N40" s="164" t="n"/>
      <c r="O40" s="164" t="n"/>
      <c r="P40" s="164" t="n"/>
      <c r="Q40" s="164" t="n"/>
      <c r="R40" s="165" t="n"/>
      <c r="S40" s="164" t="n"/>
      <c r="T40" s="164" t="n"/>
      <c r="U40" s="164" t="n"/>
      <c r="V40" s="164" t="n"/>
      <c r="W40" s="164" t="n"/>
      <c r="X40" s="164" t="n"/>
      <c r="Y40" s="165" t="n"/>
      <c r="Z40" s="164" t="n"/>
      <c r="AA40" s="164" t="n"/>
      <c r="AB40" s="164" t="n"/>
      <c r="AC40" s="164" t="n"/>
      <c r="AD40" s="164" t="n"/>
      <c r="AE40" s="165" t="n"/>
      <c r="AF40" s="165" t="n"/>
      <c r="AG40" s="164" t="n"/>
      <c r="AH40" s="164" t="n"/>
      <c r="AI40" s="164" t="n"/>
      <c r="AJ40" s="165" t="n"/>
      <c r="AK40" s="165" t="n"/>
      <c r="AL40" s="166">
        <f>SUM(G40:AK40)</f>
        <v/>
      </c>
      <c r="AM40" s="6" t="inlineStr">
        <is>
          <t>(C)</t>
        </is>
      </c>
      <c r="AN40" s="24" t="inlineStr">
        <is>
          <t>Số lượng còn lại chưa khai 残りの数量はまだ税関に申告されていません</t>
        </is>
      </c>
      <c r="AO40" s="148">
        <f>AO38+AO37-AO39</f>
        <v/>
      </c>
    </row>
  </sheetData>
  <mergeCells count="46">
    <mergeCell ref="AG4:AK4"/>
    <mergeCell ref="B34:C35"/>
    <mergeCell ref="B15:C16"/>
    <mergeCell ref="B6:C7"/>
    <mergeCell ref="B24:C25"/>
    <mergeCell ref="D7:F7"/>
    <mergeCell ref="B18:F18"/>
    <mergeCell ref="D16:F16"/>
    <mergeCell ref="B27:F27"/>
    <mergeCell ref="B21:F21"/>
    <mergeCell ref="B12:F12"/>
    <mergeCell ref="B39:F39"/>
    <mergeCell ref="B11:F11"/>
    <mergeCell ref="B23:C23"/>
    <mergeCell ref="B14:C14"/>
    <mergeCell ref="B8:F8"/>
    <mergeCell ref="D25:F25"/>
    <mergeCell ref="B17:F17"/>
    <mergeCell ref="D15:F15"/>
    <mergeCell ref="A15:A21"/>
    <mergeCell ref="AL24:AL25"/>
    <mergeCell ref="D24:F24"/>
    <mergeCell ref="B29:F29"/>
    <mergeCell ref="A34:A40"/>
    <mergeCell ref="B38:F38"/>
    <mergeCell ref="B10:F10"/>
    <mergeCell ref="B28:F28"/>
    <mergeCell ref="B19:F19"/>
    <mergeCell ref="D35:F35"/>
    <mergeCell ref="B37:F37"/>
    <mergeCell ref="A24:A30"/>
    <mergeCell ref="B1:AM3"/>
    <mergeCell ref="B40:F40"/>
    <mergeCell ref="B9:F9"/>
    <mergeCell ref="D34:F34"/>
    <mergeCell ref="B30:F30"/>
    <mergeCell ref="B33:C33"/>
    <mergeCell ref="B20:F20"/>
    <mergeCell ref="B5:C5"/>
    <mergeCell ref="AL34:AL35"/>
    <mergeCell ref="B36:F36"/>
    <mergeCell ref="A6:A12"/>
    <mergeCell ref="AL15:AL16"/>
    <mergeCell ref="AL6:AL7"/>
    <mergeCell ref="D6:F6"/>
    <mergeCell ref="B26:F26"/>
  </mergeCells>
  <conditionalFormatting sqref="G6:AK7">
    <cfRule type="expression" priority="15" dxfId="1" stopIfTrue="1">
      <formula>WEEKDAY(G6)=7</formula>
    </cfRule>
    <cfRule type="expression" priority="16" dxfId="0" stopIfTrue="1">
      <formula>WEEKDAY(G6)=1</formula>
    </cfRule>
  </conditionalFormatting>
  <conditionalFormatting sqref="G15:AK16">
    <cfRule type="expression" priority="11" dxfId="1" stopIfTrue="1">
      <formula>WEEKDAY(G15)=7</formula>
    </cfRule>
    <cfRule type="expression" priority="12" dxfId="0" stopIfTrue="1">
      <formula>WEEKDAY(G15)=1</formula>
    </cfRule>
  </conditionalFormatting>
  <conditionalFormatting sqref="G24:AK25">
    <cfRule type="expression" priority="3" dxfId="1" stopIfTrue="1">
      <formula>WEEKDAY(G24)=7</formula>
    </cfRule>
    <cfRule type="expression" priority="4" dxfId="0" stopIfTrue="1">
      <formula>WEEKDAY(G24)=1</formula>
    </cfRule>
  </conditionalFormatting>
  <conditionalFormatting sqref="G34:AK35">
    <cfRule type="expression" priority="7" dxfId="1" stopIfTrue="1">
      <formula>WEEKDAY(G34)=7</formula>
    </cfRule>
    <cfRule type="expression" priority="8" dxfId="0" stopIfTrue="1">
      <formula>WEEKDAY(G34)=1</formula>
    </cfRule>
  </conditionalFormatting>
  <conditionalFormatting sqref="AL6">
    <cfRule type="expression" priority="13" dxfId="1" stopIfTrue="1">
      <formula>WEEKDAY(AL6)=7</formula>
    </cfRule>
    <cfRule type="expression" priority="14" dxfId="0" stopIfTrue="1">
      <formula>WEEKDAY(AL6)=1</formula>
    </cfRule>
  </conditionalFormatting>
  <conditionalFormatting sqref="AL15">
    <cfRule type="expression" priority="9" dxfId="1" stopIfTrue="1">
      <formula>WEEKDAY(AL15)=7</formula>
    </cfRule>
    <cfRule type="expression" priority="10" dxfId="0" stopIfTrue="1">
      <formula>WEEKDAY(AL15)=1</formula>
    </cfRule>
  </conditionalFormatting>
  <conditionalFormatting sqref="AL24">
    <cfRule type="expression" priority="1" dxfId="1" stopIfTrue="1">
      <formula>WEEKDAY(AL24)=7</formula>
    </cfRule>
    <cfRule type="expression" priority="2" dxfId="0" stopIfTrue="1">
      <formula>WEEKDAY(AL24)=1</formula>
    </cfRule>
  </conditionalFormatting>
  <conditionalFormatting sqref="AL34">
    <cfRule type="expression" priority="5" dxfId="1" stopIfTrue="1">
      <formula>WEEKDAY(AL34)=7</formula>
    </cfRule>
    <cfRule type="expression" priority="6" dxfId="0" stopIfTrue="1">
      <formula>WEEKDAY(AL34)=1</formula>
    </cfRule>
  </conditionalFormatting>
  <printOptions horizontalCentered="1"/>
  <pageMargins left="0.17" right="0.17" top="0.17" bottom="0.17" header="0.17" footer="0.17"/>
  <pageSetup orientation="landscape" paperSize="9" scale="3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theme="0" tint="-0.499984740745262"/>
    <outlinePr summaryBelow="1" summaryRight="1"/>
    <pageSetUpPr fitToPage="1"/>
  </sheetPr>
  <dimension ref="A1:AO12"/>
  <sheetViews>
    <sheetView showGridLines="0" view="pageBreakPreview" zoomScale="60"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S26" sqref="S26"/>
    </sheetView>
  </sheetViews>
  <sheetFormatPr baseColWidth="8" defaultColWidth="9" defaultRowHeight="21"/>
  <cols>
    <col width="14.140625" customWidth="1" style="1" min="1" max="1"/>
    <col width="3.7109375" customWidth="1" style="1" min="2" max="2"/>
    <col width="7.5703125" customWidth="1" style="1" min="3" max="3"/>
    <col width="2.5703125" customWidth="1" style="1" min="4" max="4"/>
    <col width="9" customWidth="1" style="1" min="5" max="5"/>
    <col width="21.28515625" customWidth="1" style="1" min="6" max="6"/>
    <col width="10" customWidth="1" style="1" min="7" max="37"/>
    <col width="16" bestFit="1" customWidth="1" style="1" min="38" max="38"/>
    <col width="6" customWidth="1" style="1" min="39" max="39"/>
    <col width="25.140625" customWidth="1" style="2" min="40" max="40"/>
    <col width="16.85546875" customWidth="1" style="20" min="41" max="41"/>
    <col width="3.7109375" customWidth="1" style="127" min="255" max="257"/>
    <col width="2.5703125" customWidth="1" style="127" min="258" max="261"/>
    <col width="3.7109375" customWidth="1" style="127" min="262" max="264"/>
    <col width="4.42578125" customWidth="1" style="127" min="265" max="295"/>
    <col width="9" customWidth="1" style="127" min="296" max="296"/>
    <col width="3.7109375" customWidth="1" style="127" min="511" max="513"/>
    <col width="2.5703125" customWidth="1" style="127" min="514" max="517"/>
    <col width="3.7109375" customWidth="1" style="127" min="518" max="520"/>
    <col width="4.42578125" customWidth="1" style="127" min="521" max="551"/>
    <col width="9" customWidth="1" style="127" min="552" max="552"/>
    <col width="3.7109375" customWidth="1" style="127" min="767" max="769"/>
    <col width="2.5703125" customWidth="1" style="127" min="770" max="773"/>
    <col width="3.7109375" customWidth="1" style="127" min="774" max="776"/>
    <col width="4.42578125" customWidth="1" style="127" min="777" max="807"/>
    <col width="9" customWidth="1" style="127" min="808" max="808"/>
    <col width="3.7109375" customWidth="1" style="127" min="1023" max="1025"/>
    <col width="2.5703125" customWidth="1" style="127" min="1026" max="1029"/>
    <col width="3.7109375" customWidth="1" style="127" min="1030" max="1032"/>
    <col width="4.42578125" customWidth="1" style="127" min="1033" max="1063"/>
    <col width="9" customWidth="1" style="127" min="1064" max="1064"/>
    <col width="3.7109375" customWidth="1" style="127" min="1279" max="1281"/>
    <col width="2.5703125" customWidth="1" style="127" min="1282" max="1285"/>
    <col width="3.7109375" customWidth="1" style="127" min="1286" max="1288"/>
    <col width="4.42578125" customWidth="1" style="127" min="1289" max="1319"/>
    <col width="9" customWidth="1" style="127" min="1320" max="1320"/>
    <col width="3.7109375" customWidth="1" style="127" min="1535" max="1537"/>
    <col width="2.5703125" customWidth="1" style="127" min="1538" max="1541"/>
    <col width="3.7109375" customWidth="1" style="127" min="1542" max="1544"/>
    <col width="4.42578125" customWidth="1" style="127" min="1545" max="1575"/>
    <col width="9" customWidth="1" style="127" min="1576" max="1576"/>
    <col width="3.7109375" customWidth="1" style="127" min="1791" max="1793"/>
    <col width="2.5703125" customWidth="1" style="127" min="1794" max="1797"/>
    <col width="3.7109375" customWidth="1" style="127" min="1798" max="1800"/>
    <col width="4.42578125" customWidth="1" style="127" min="1801" max="1831"/>
    <col width="9" customWidth="1" style="127" min="1832" max="1832"/>
    <col width="3.7109375" customWidth="1" style="127" min="2047" max="2049"/>
    <col width="2.5703125" customWidth="1" style="127" min="2050" max="2053"/>
    <col width="3.7109375" customWidth="1" style="127" min="2054" max="2056"/>
    <col width="4.42578125" customWidth="1" style="127" min="2057" max="2087"/>
    <col width="9" customWidth="1" style="127" min="2088" max="2088"/>
    <col width="3.7109375" customWidth="1" style="127" min="2303" max="2305"/>
    <col width="2.5703125" customWidth="1" style="127" min="2306" max="2309"/>
    <col width="3.7109375" customWidth="1" style="127" min="2310" max="2312"/>
    <col width="4.42578125" customWidth="1" style="127" min="2313" max="2343"/>
    <col width="9" customWidth="1" style="127" min="2344" max="2344"/>
    <col width="3.7109375" customWidth="1" style="127" min="2559" max="2561"/>
    <col width="2.5703125" customWidth="1" style="127" min="2562" max="2565"/>
    <col width="3.7109375" customWidth="1" style="127" min="2566" max="2568"/>
    <col width="4.42578125" customWidth="1" style="127" min="2569" max="2599"/>
    <col width="9" customWidth="1" style="127" min="2600" max="2600"/>
    <col width="3.7109375" customWidth="1" style="127" min="2815" max="2817"/>
    <col width="2.5703125" customWidth="1" style="127" min="2818" max="2821"/>
    <col width="3.7109375" customWidth="1" style="127" min="2822" max="2824"/>
    <col width="4.42578125" customWidth="1" style="127" min="2825" max="2855"/>
    <col width="9" customWidth="1" style="127" min="2856" max="2856"/>
    <col width="3.7109375" customWidth="1" style="127" min="3071" max="3073"/>
    <col width="2.5703125" customWidth="1" style="127" min="3074" max="3077"/>
    <col width="3.7109375" customWidth="1" style="127" min="3078" max="3080"/>
    <col width="4.42578125" customWidth="1" style="127" min="3081" max="3111"/>
    <col width="9" customWidth="1" style="127" min="3112" max="3112"/>
    <col width="3.7109375" customWidth="1" style="127" min="3327" max="3329"/>
    <col width="2.5703125" customWidth="1" style="127" min="3330" max="3333"/>
    <col width="3.7109375" customWidth="1" style="127" min="3334" max="3336"/>
    <col width="4.42578125" customWidth="1" style="127" min="3337" max="3367"/>
    <col width="9" customWidth="1" style="127" min="3368" max="3368"/>
    <col width="3.7109375" customWidth="1" style="127" min="3583" max="3585"/>
    <col width="2.5703125" customWidth="1" style="127" min="3586" max="3589"/>
    <col width="3.7109375" customWidth="1" style="127" min="3590" max="3592"/>
    <col width="4.42578125" customWidth="1" style="127" min="3593" max="3623"/>
    <col width="9" customWidth="1" style="127" min="3624" max="3624"/>
    <col width="3.7109375" customWidth="1" style="127" min="3839" max="3841"/>
    <col width="2.5703125" customWidth="1" style="127" min="3842" max="3845"/>
    <col width="3.7109375" customWidth="1" style="127" min="3846" max="3848"/>
    <col width="4.42578125" customWidth="1" style="127" min="3849" max="3879"/>
    <col width="9" customWidth="1" style="127" min="3880" max="3880"/>
    <col width="3.7109375" customWidth="1" style="127" min="4095" max="4097"/>
    <col width="2.5703125" customWidth="1" style="127" min="4098" max="4101"/>
    <col width="3.7109375" customWidth="1" style="127" min="4102" max="4104"/>
    <col width="4.42578125" customWidth="1" style="127" min="4105" max="4135"/>
    <col width="9" customWidth="1" style="127" min="4136" max="4136"/>
    <col width="3.7109375" customWidth="1" style="127" min="4351" max="4353"/>
    <col width="2.5703125" customWidth="1" style="127" min="4354" max="4357"/>
    <col width="3.7109375" customWidth="1" style="127" min="4358" max="4360"/>
    <col width="4.42578125" customWidth="1" style="127" min="4361" max="4391"/>
    <col width="9" customWidth="1" style="127" min="4392" max="4392"/>
    <col width="3.7109375" customWidth="1" style="127" min="4607" max="4609"/>
    <col width="2.5703125" customWidth="1" style="127" min="4610" max="4613"/>
    <col width="3.7109375" customWidth="1" style="127" min="4614" max="4616"/>
    <col width="4.42578125" customWidth="1" style="127" min="4617" max="4647"/>
    <col width="9" customWidth="1" style="127" min="4648" max="4648"/>
    <col width="3.7109375" customWidth="1" style="127" min="4863" max="4865"/>
    <col width="2.5703125" customWidth="1" style="127" min="4866" max="4869"/>
    <col width="3.7109375" customWidth="1" style="127" min="4870" max="4872"/>
    <col width="4.42578125" customWidth="1" style="127" min="4873" max="4903"/>
    <col width="9" customWidth="1" style="127" min="4904" max="4904"/>
    <col width="3.7109375" customWidth="1" style="127" min="5119" max="5121"/>
    <col width="2.5703125" customWidth="1" style="127" min="5122" max="5125"/>
    <col width="3.7109375" customWidth="1" style="127" min="5126" max="5128"/>
    <col width="4.42578125" customWidth="1" style="127" min="5129" max="5159"/>
    <col width="9" customWidth="1" style="127" min="5160" max="5160"/>
    <col width="3.7109375" customWidth="1" style="127" min="5375" max="5377"/>
    <col width="2.5703125" customWidth="1" style="127" min="5378" max="5381"/>
    <col width="3.7109375" customWidth="1" style="127" min="5382" max="5384"/>
    <col width="4.42578125" customWidth="1" style="127" min="5385" max="5415"/>
    <col width="9" customWidth="1" style="127" min="5416" max="5416"/>
    <col width="3.7109375" customWidth="1" style="127" min="5631" max="5633"/>
    <col width="2.5703125" customWidth="1" style="127" min="5634" max="5637"/>
    <col width="3.7109375" customWidth="1" style="127" min="5638" max="5640"/>
    <col width="4.42578125" customWidth="1" style="127" min="5641" max="5671"/>
    <col width="9" customWidth="1" style="127" min="5672" max="5672"/>
    <col width="3.7109375" customWidth="1" style="127" min="5887" max="5889"/>
    <col width="2.5703125" customWidth="1" style="127" min="5890" max="5893"/>
    <col width="3.7109375" customWidth="1" style="127" min="5894" max="5896"/>
    <col width="4.42578125" customWidth="1" style="127" min="5897" max="5927"/>
    <col width="9" customWidth="1" style="127" min="5928" max="5928"/>
    <col width="3.7109375" customWidth="1" style="127" min="6143" max="6145"/>
    <col width="2.5703125" customWidth="1" style="127" min="6146" max="6149"/>
    <col width="3.7109375" customWidth="1" style="127" min="6150" max="6152"/>
    <col width="4.42578125" customWidth="1" style="127" min="6153" max="6183"/>
    <col width="9" customWidth="1" style="127" min="6184" max="6184"/>
    <col width="3.7109375" customWidth="1" style="127" min="6399" max="6401"/>
    <col width="2.5703125" customWidth="1" style="127" min="6402" max="6405"/>
    <col width="3.7109375" customWidth="1" style="127" min="6406" max="6408"/>
    <col width="4.42578125" customWidth="1" style="127" min="6409" max="6439"/>
    <col width="9" customWidth="1" style="127" min="6440" max="6440"/>
    <col width="3.7109375" customWidth="1" style="127" min="6655" max="6657"/>
    <col width="2.5703125" customWidth="1" style="127" min="6658" max="6661"/>
    <col width="3.7109375" customWidth="1" style="127" min="6662" max="6664"/>
    <col width="4.42578125" customWidth="1" style="127" min="6665" max="6695"/>
    <col width="9" customWidth="1" style="127" min="6696" max="6696"/>
    <col width="3.7109375" customWidth="1" style="127" min="6911" max="6913"/>
    <col width="2.5703125" customWidth="1" style="127" min="6914" max="6917"/>
    <col width="3.7109375" customWidth="1" style="127" min="6918" max="6920"/>
    <col width="4.42578125" customWidth="1" style="127" min="6921" max="6951"/>
    <col width="9" customWidth="1" style="127" min="6952" max="6952"/>
    <col width="3.7109375" customWidth="1" style="127" min="7167" max="7169"/>
    <col width="2.5703125" customWidth="1" style="127" min="7170" max="7173"/>
    <col width="3.7109375" customWidth="1" style="127" min="7174" max="7176"/>
    <col width="4.42578125" customWidth="1" style="127" min="7177" max="7207"/>
    <col width="9" customWidth="1" style="127" min="7208" max="7208"/>
    <col width="3.7109375" customWidth="1" style="127" min="7423" max="7425"/>
    <col width="2.5703125" customWidth="1" style="127" min="7426" max="7429"/>
    <col width="3.7109375" customWidth="1" style="127" min="7430" max="7432"/>
    <col width="4.42578125" customWidth="1" style="127" min="7433" max="7463"/>
    <col width="9" customWidth="1" style="127" min="7464" max="7464"/>
    <col width="3.7109375" customWidth="1" style="127" min="7679" max="7681"/>
    <col width="2.5703125" customWidth="1" style="127" min="7682" max="7685"/>
    <col width="3.7109375" customWidth="1" style="127" min="7686" max="7688"/>
    <col width="4.42578125" customWidth="1" style="127" min="7689" max="7719"/>
    <col width="9" customWidth="1" style="127" min="7720" max="7720"/>
    <col width="3.7109375" customWidth="1" style="127" min="7935" max="7937"/>
    <col width="2.5703125" customWidth="1" style="127" min="7938" max="7941"/>
    <col width="3.7109375" customWidth="1" style="127" min="7942" max="7944"/>
    <col width="4.42578125" customWidth="1" style="127" min="7945" max="7975"/>
    <col width="9" customWidth="1" style="127" min="7976" max="7976"/>
    <col width="3.7109375" customWidth="1" style="127" min="8191" max="8193"/>
    <col width="2.5703125" customWidth="1" style="127" min="8194" max="8197"/>
    <col width="3.7109375" customWidth="1" style="127" min="8198" max="8200"/>
    <col width="4.42578125" customWidth="1" style="127" min="8201" max="8231"/>
    <col width="9" customWidth="1" style="127" min="8232" max="8232"/>
    <col width="3.7109375" customWidth="1" style="127" min="8447" max="8449"/>
    <col width="2.5703125" customWidth="1" style="127" min="8450" max="8453"/>
    <col width="3.7109375" customWidth="1" style="127" min="8454" max="8456"/>
    <col width="4.42578125" customWidth="1" style="127" min="8457" max="8487"/>
    <col width="9" customWidth="1" style="127" min="8488" max="8488"/>
    <col width="3.7109375" customWidth="1" style="127" min="8703" max="8705"/>
    <col width="2.5703125" customWidth="1" style="127" min="8706" max="8709"/>
    <col width="3.7109375" customWidth="1" style="127" min="8710" max="8712"/>
    <col width="4.42578125" customWidth="1" style="127" min="8713" max="8743"/>
    <col width="9" customWidth="1" style="127" min="8744" max="8744"/>
    <col width="3.7109375" customWidth="1" style="127" min="8959" max="8961"/>
    <col width="2.5703125" customWidth="1" style="127" min="8962" max="8965"/>
    <col width="3.7109375" customWidth="1" style="127" min="8966" max="8968"/>
    <col width="4.42578125" customWidth="1" style="127" min="8969" max="8999"/>
    <col width="9" customWidth="1" style="127" min="9000" max="9000"/>
    <col width="3.7109375" customWidth="1" style="127" min="9215" max="9217"/>
    <col width="2.5703125" customWidth="1" style="127" min="9218" max="9221"/>
    <col width="3.7109375" customWidth="1" style="127" min="9222" max="9224"/>
    <col width="4.42578125" customWidth="1" style="127" min="9225" max="9255"/>
    <col width="9" customWidth="1" style="127" min="9256" max="9256"/>
    <col width="3.7109375" customWidth="1" style="127" min="9471" max="9473"/>
    <col width="2.5703125" customWidth="1" style="127" min="9474" max="9477"/>
    <col width="3.7109375" customWidth="1" style="127" min="9478" max="9480"/>
    <col width="4.42578125" customWidth="1" style="127" min="9481" max="9511"/>
    <col width="9" customWidth="1" style="127" min="9512" max="9512"/>
    <col width="3.7109375" customWidth="1" style="127" min="9727" max="9729"/>
    <col width="2.5703125" customWidth="1" style="127" min="9730" max="9733"/>
    <col width="3.7109375" customWidth="1" style="127" min="9734" max="9736"/>
    <col width="4.42578125" customWidth="1" style="127" min="9737" max="9767"/>
    <col width="9" customWidth="1" style="127" min="9768" max="9768"/>
    <col width="3.7109375" customWidth="1" style="127" min="9983" max="9985"/>
    <col width="2.5703125" customWidth="1" style="127" min="9986" max="9989"/>
    <col width="3.7109375" customWidth="1" style="127" min="9990" max="9992"/>
    <col width="4.42578125" customWidth="1" style="127" min="9993" max="10023"/>
    <col width="9" customWidth="1" style="127" min="10024" max="10024"/>
    <col width="3.7109375" customWidth="1" style="127" min="10239" max="10241"/>
    <col width="2.5703125" customWidth="1" style="127" min="10242" max="10245"/>
    <col width="3.7109375" customWidth="1" style="127" min="10246" max="10248"/>
    <col width="4.42578125" customWidth="1" style="127" min="10249" max="10279"/>
    <col width="9" customWidth="1" style="127" min="10280" max="10280"/>
    <col width="3.7109375" customWidth="1" style="127" min="10495" max="10497"/>
    <col width="2.5703125" customWidth="1" style="127" min="10498" max="10501"/>
    <col width="3.7109375" customWidth="1" style="127" min="10502" max="10504"/>
    <col width="4.42578125" customWidth="1" style="127" min="10505" max="10535"/>
    <col width="9" customWidth="1" style="127" min="10536" max="10536"/>
    <col width="3.7109375" customWidth="1" style="127" min="10751" max="10753"/>
    <col width="2.5703125" customWidth="1" style="127" min="10754" max="10757"/>
    <col width="3.7109375" customWidth="1" style="127" min="10758" max="10760"/>
    <col width="4.42578125" customWidth="1" style="127" min="10761" max="10791"/>
    <col width="9" customWidth="1" style="127" min="10792" max="10792"/>
    <col width="3.7109375" customWidth="1" style="127" min="11007" max="11009"/>
    <col width="2.5703125" customWidth="1" style="127" min="11010" max="11013"/>
    <col width="3.7109375" customWidth="1" style="127" min="11014" max="11016"/>
    <col width="4.42578125" customWidth="1" style="127" min="11017" max="11047"/>
    <col width="9" customWidth="1" style="127" min="11048" max="11048"/>
    <col width="3.7109375" customWidth="1" style="127" min="11263" max="11265"/>
    <col width="2.5703125" customWidth="1" style="127" min="11266" max="11269"/>
    <col width="3.7109375" customWidth="1" style="127" min="11270" max="11272"/>
    <col width="4.42578125" customWidth="1" style="127" min="11273" max="11303"/>
    <col width="9" customWidth="1" style="127" min="11304" max="11304"/>
    <col width="3.7109375" customWidth="1" style="127" min="11519" max="11521"/>
    <col width="2.5703125" customWidth="1" style="127" min="11522" max="11525"/>
    <col width="3.7109375" customWidth="1" style="127" min="11526" max="11528"/>
    <col width="4.42578125" customWidth="1" style="127" min="11529" max="11559"/>
    <col width="9" customWidth="1" style="127" min="11560" max="11560"/>
    <col width="3.7109375" customWidth="1" style="127" min="11775" max="11777"/>
    <col width="2.5703125" customWidth="1" style="127" min="11778" max="11781"/>
    <col width="3.7109375" customWidth="1" style="127" min="11782" max="11784"/>
    <col width="4.42578125" customWidth="1" style="127" min="11785" max="11815"/>
    <col width="9" customWidth="1" style="127" min="11816" max="11816"/>
    <col width="3.7109375" customWidth="1" style="127" min="12031" max="12033"/>
    <col width="2.5703125" customWidth="1" style="127" min="12034" max="12037"/>
    <col width="3.7109375" customWidth="1" style="127" min="12038" max="12040"/>
    <col width="4.42578125" customWidth="1" style="127" min="12041" max="12071"/>
    <col width="9" customWidth="1" style="127" min="12072" max="12072"/>
    <col width="3.7109375" customWidth="1" style="127" min="12287" max="12289"/>
    <col width="2.5703125" customWidth="1" style="127" min="12290" max="12293"/>
    <col width="3.7109375" customWidth="1" style="127" min="12294" max="12296"/>
    <col width="4.42578125" customWidth="1" style="127" min="12297" max="12327"/>
    <col width="9" customWidth="1" style="127" min="12328" max="12328"/>
    <col width="3.7109375" customWidth="1" style="127" min="12543" max="12545"/>
    <col width="2.5703125" customWidth="1" style="127" min="12546" max="12549"/>
    <col width="3.7109375" customWidth="1" style="127" min="12550" max="12552"/>
    <col width="4.42578125" customWidth="1" style="127" min="12553" max="12583"/>
    <col width="9" customWidth="1" style="127" min="12584" max="12584"/>
    <col width="3.7109375" customWidth="1" style="127" min="12799" max="12801"/>
    <col width="2.5703125" customWidth="1" style="127" min="12802" max="12805"/>
    <col width="3.7109375" customWidth="1" style="127" min="12806" max="12808"/>
    <col width="4.42578125" customWidth="1" style="127" min="12809" max="12839"/>
    <col width="9" customWidth="1" style="127" min="12840" max="12840"/>
    <col width="3.7109375" customWidth="1" style="127" min="13055" max="13057"/>
    <col width="2.5703125" customWidth="1" style="127" min="13058" max="13061"/>
    <col width="3.7109375" customWidth="1" style="127" min="13062" max="13064"/>
    <col width="4.42578125" customWidth="1" style="127" min="13065" max="13095"/>
    <col width="9" customWidth="1" style="127" min="13096" max="13096"/>
    <col width="3.7109375" customWidth="1" style="127" min="13311" max="13313"/>
    <col width="2.5703125" customWidth="1" style="127" min="13314" max="13317"/>
    <col width="3.7109375" customWidth="1" style="127" min="13318" max="13320"/>
    <col width="4.42578125" customWidth="1" style="127" min="13321" max="13351"/>
    <col width="9" customWidth="1" style="127" min="13352" max="13352"/>
    <col width="3.7109375" customWidth="1" style="127" min="13567" max="13569"/>
    <col width="2.5703125" customWidth="1" style="127" min="13570" max="13573"/>
    <col width="3.7109375" customWidth="1" style="127" min="13574" max="13576"/>
    <col width="4.42578125" customWidth="1" style="127" min="13577" max="13607"/>
    <col width="9" customWidth="1" style="127" min="13608" max="13608"/>
    <col width="3.7109375" customWidth="1" style="127" min="13823" max="13825"/>
    <col width="2.5703125" customWidth="1" style="127" min="13826" max="13829"/>
    <col width="3.7109375" customWidth="1" style="127" min="13830" max="13832"/>
    <col width="4.42578125" customWidth="1" style="127" min="13833" max="13863"/>
    <col width="9" customWidth="1" style="127" min="13864" max="13864"/>
    <col width="3.7109375" customWidth="1" style="127" min="14079" max="14081"/>
    <col width="2.5703125" customWidth="1" style="127" min="14082" max="14085"/>
    <col width="3.7109375" customWidth="1" style="127" min="14086" max="14088"/>
    <col width="4.42578125" customWidth="1" style="127" min="14089" max="14119"/>
    <col width="9" customWidth="1" style="127" min="14120" max="14120"/>
    <col width="3.7109375" customWidth="1" style="127" min="14335" max="14337"/>
    <col width="2.5703125" customWidth="1" style="127" min="14338" max="14341"/>
    <col width="3.7109375" customWidth="1" style="127" min="14342" max="14344"/>
    <col width="4.42578125" customWidth="1" style="127" min="14345" max="14375"/>
    <col width="9" customWidth="1" style="127" min="14376" max="14376"/>
    <col width="3.7109375" customWidth="1" style="127" min="14591" max="14593"/>
    <col width="2.5703125" customWidth="1" style="127" min="14594" max="14597"/>
    <col width="3.7109375" customWidth="1" style="127" min="14598" max="14600"/>
    <col width="4.42578125" customWidth="1" style="127" min="14601" max="14631"/>
    <col width="9" customWidth="1" style="127" min="14632" max="14632"/>
    <col width="3.7109375" customWidth="1" style="127" min="14847" max="14849"/>
    <col width="2.5703125" customWidth="1" style="127" min="14850" max="14853"/>
    <col width="3.7109375" customWidth="1" style="127" min="14854" max="14856"/>
    <col width="4.42578125" customWidth="1" style="127" min="14857" max="14887"/>
    <col width="9" customWidth="1" style="127" min="14888" max="14888"/>
    <col width="3.7109375" customWidth="1" style="127" min="15103" max="15105"/>
    <col width="2.5703125" customWidth="1" style="127" min="15106" max="15109"/>
    <col width="3.7109375" customWidth="1" style="127" min="15110" max="15112"/>
    <col width="4.42578125" customWidth="1" style="127" min="15113" max="15143"/>
    <col width="9" customWidth="1" style="127" min="15144" max="15144"/>
    <col width="3.7109375" customWidth="1" style="127" min="15359" max="15361"/>
    <col width="2.5703125" customWidth="1" style="127" min="15362" max="15365"/>
    <col width="3.7109375" customWidth="1" style="127" min="15366" max="15368"/>
    <col width="4.42578125" customWidth="1" style="127" min="15369" max="15399"/>
    <col width="9" customWidth="1" style="127" min="15400" max="15400"/>
    <col width="3.7109375" customWidth="1" style="127" min="15615" max="15617"/>
    <col width="2.5703125" customWidth="1" style="127" min="15618" max="15621"/>
    <col width="3.7109375" customWidth="1" style="127" min="15622" max="15624"/>
    <col width="4.42578125" customWidth="1" style="127" min="15625" max="15655"/>
    <col width="9" customWidth="1" style="127" min="15656" max="15656"/>
    <col width="3.7109375" customWidth="1" style="127" min="15871" max="15873"/>
    <col width="2.5703125" customWidth="1" style="127" min="15874" max="15877"/>
    <col width="3.7109375" customWidth="1" style="127" min="15878" max="15880"/>
    <col width="4.42578125" customWidth="1" style="127" min="15881" max="15911"/>
    <col width="9" customWidth="1" style="127" min="15912" max="15912"/>
    <col width="3.7109375" customWidth="1" style="127" min="16127" max="16129"/>
    <col width="2.5703125" customWidth="1" style="127" min="16130" max="16133"/>
    <col width="3.7109375" customWidth="1" style="127" min="16134" max="16136"/>
    <col width="4.42578125" customWidth="1" style="127" min="16137" max="16167"/>
    <col width="9" customWidth="1" style="127" min="16168" max="16168"/>
  </cols>
  <sheetData>
    <row r="1" ht="30.75" customHeight="1" s="127">
      <c r="A1" s="10" t="n"/>
      <c r="B1" s="100" t="inlineStr">
        <is>
          <t>LỊCH GIAO HÀNG DO SUNG
DO SUNG会社の納品スケジュール</t>
        </is>
      </c>
    </row>
    <row r="2" ht="55.5" customHeight="1" s="127">
      <c r="A2" s="10" t="n"/>
    </row>
    <row r="3" ht="30.75" customHeight="1" s="127">
      <c r="A3" s="7" t="n"/>
    </row>
    <row r="4" ht="30.75" customHeight="1" s="127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101" t="n"/>
      <c r="AL4" s="7" t="n"/>
      <c r="AM4" s="7" t="n"/>
    </row>
    <row r="5" ht="21" customHeight="1" s="127" thickBot="1">
      <c r="B5" s="85" t="n">
        <v>2026</v>
      </c>
      <c r="D5" s="85" t="inlineStr">
        <is>
          <t>年</t>
        </is>
      </c>
      <c r="E5" s="85" t="n">
        <v>3</v>
      </c>
      <c r="F5" s="29" t="inlineStr">
        <is>
          <t>月</t>
        </is>
      </c>
      <c r="G5" s="8" t="n"/>
      <c r="H5" s="3" t="n"/>
      <c r="I5" s="3" t="n"/>
      <c r="J5" s="5" t="n"/>
      <c r="K5" s="5" t="n"/>
      <c r="L5" s="5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7" t="n"/>
    </row>
    <row r="6" ht="20.25" customFormat="1" customHeight="1" s="11">
      <c r="A6" s="173" t="inlineStr">
        <is>
          <t>mda0016 Tay cầm hình vuông 320 スクエア取っ手 (WN73057B-320)</t>
        </is>
      </c>
      <c r="B6" s="106" t="inlineStr">
        <is>
          <t>輸送</t>
        </is>
      </c>
      <c r="C6" s="129" t="n"/>
      <c r="D6" s="107" t="inlineStr">
        <is>
          <t>日</t>
        </is>
      </c>
      <c r="E6" s="130" t="n"/>
      <c r="F6" s="131" t="n"/>
      <c r="G6" s="132">
        <f>DATE(B5,E5,1)</f>
        <v/>
      </c>
      <c r="H6" s="132">
        <f>IF(G6="","",IF(DAY(G6+1)=1,"",G6+1))</f>
        <v/>
      </c>
      <c r="I6" s="132">
        <f>IF(H6="","",IF(DAY(H6+1)=1,"",H6+1))</f>
        <v/>
      </c>
      <c r="J6" s="132">
        <f>IF(I6="","",IF(DAY(I6+1)=1,"",I6+1))</f>
        <v/>
      </c>
      <c r="K6" s="132">
        <f>IF(J6="","",IF(DAY(J6+1)=1,"",J6+1))</f>
        <v/>
      </c>
      <c r="L6" s="132">
        <f>IF(K6="","",IF(DAY(K6+1)=1,"",K6+1))</f>
        <v/>
      </c>
      <c r="M6" s="132">
        <f>IF(L6="","",IF(DAY(L6+1)=1,"",L6+1))</f>
        <v/>
      </c>
      <c r="N6" s="132">
        <f>IF(M6="","",IF(DAY(M6+1)=1,"",M6+1))</f>
        <v/>
      </c>
      <c r="O6" s="132">
        <f>IF(N6="","",IF(DAY(N6+1)=1,"",N6+1))</f>
        <v/>
      </c>
      <c r="P6" s="132">
        <f>IF(O6="","",IF(DAY(O6+1)=1,"",O6+1))</f>
        <v/>
      </c>
      <c r="Q6" s="132">
        <f>IF(P6="","",IF(DAY(P6+1)=1,"",P6+1))</f>
        <v/>
      </c>
      <c r="R6" s="132">
        <f>IF(Q6="","",IF(DAY(Q6+1)=1,"",Q6+1))</f>
        <v/>
      </c>
      <c r="S6" s="132">
        <f>IF(R6="","",IF(DAY(R6+1)=1,"",R6+1))</f>
        <v/>
      </c>
      <c r="T6" s="132">
        <f>IF(S6="","",IF(DAY(S6+1)=1,"",S6+1))</f>
        <v/>
      </c>
      <c r="U6" s="132">
        <f>IF(T6="","",IF(DAY(T6+1)=1,"",T6+1))</f>
        <v/>
      </c>
      <c r="V6" s="132">
        <f>IF(U6="","",IF(DAY(U6+1)=1,"",U6+1))</f>
        <v/>
      </c>
      <c r="W6" s="132">
        <f>IF(V6="","",IF(DAY(V6+1)=1,"",V6+1))</f>
        <v/>
      </c>
      <c r="X6" s="132">
        <f>IF(W6="","",IF(DAY(W6+1)=1,"",W6+1))</f>
        <v/>
      </c>
      <c r="Y6" s="132">
        <f>IF(X6="","",IF(DAY(X6+1)=1,"",X6+1))</f>
        <v/>
      </c>
      <c r="Z6" s="132">
        <f>IF(Y6="","",IF(DAY(Y6+1)=1,"",Y6+1))</f>
        <v/>
      </c>
      <c r="AA6" s="132">
        <f>IF(Z6="","",IF(DAY(Z6+1)=1,"",Z6+1))</f>
        <v/>
      </c>
      <c r="AB6" s="132">
        <f>IF(AA6="","",IF(DAY(AA6+1)=1,"",AA6+1))</f>
        <v/>
      </c>
      <c r="AC6" s="132">
        <f>IF(AB6="","",IF(DAY(AB6+1)=1,"",AB6+1))</f>
        <v/>
      </c>
      <c r="AD6" s="132">
        <f>IF(AC6="","",IF(DAY(AC6+1)=1,"",AC6+1))</f>
        <v/>
      </c>
      <c r="AE6" s="132">
        <f>IF(AD6="","",IF(DAY(AD6+1)=1,"",AD6+1))</f>
        <v/>
      </c>
      <c r="AF6" s="132">
        <f>IF(AE6="","",IF(DAY(AE6+1)=1,"",AE6+1))</f>
        <v/>
      </c>
      <c r="AG6" s="132">
        <f>IF(AF6="","",IF(DAY(AF6+1)=1,"",AF6+1))</f>
        <v/>
      </c>
      <c r="AH6" s="132">
        <f>IF(AG6="","",IF(DAY(AG6+1)=1,"",AG6+1))</f>
        <v/>
      </c>
      <c r="AI6" s="132">
        <f>IF(AH6="","",IF(DAY(AH6+1)=1,"",AH6+1))</f>
        <v/>
      </c>
      <c r="AJ6" s="132">
        <f>IF(AI6="","",IF(DAY(AI6+1)=1,"",AI6+1))</f>
        <v/>
      </c>
      <c r="AK6" s="132">
        <f>IF(AJ6="","",IF(DAY(AJ6+1)=1,"",AJ6+1))</f>
        <v/>
      </c>
      <c r="AL6" s="133" t="inlineStr">
        <is>
          <t>Total</t>
        </is>
      </c>
      <c r="AM6" s="7" t="n"/>
      <c r="AN6" s="21" t="n"/>
      <c r="AO6" s="20" t="n"/>
    </row>
    <row r="7" ht="20.25" customFormat="1" customHeight="1" s="11">
      <c r="A7" s="134" t="n"/>
      <c r="B7" s="135" t="n"/>
      <c r="C7" s="136" t="n"/>
      <c r="D7" s="102" t="inlineStr">
        <is>
          <t>時間</t>
        </is>
      </c>
      <c r="E7" s="137" t="n"/>
      <c r="F7" s="138" t="n"/>
      <c r="G7" s="139">
        <f>+G6</f>
        <v/>
      </c>
      <c r="H7" s="139">
        <f>+H6</f>
        <v/>
      </c>
      <c r="I7" s="139">
        <f>+I6</f>
        <v/>
      </c>
      <c r="J7" s="139">
        <f>+J6</f>
        <v/>
      </c>
      <c r="K7" s="139">
        <f>+K6</f>
        <v/>
      </c>
      <c r="L7" s="139">
        <f>+L6</f>
        <v/>
      </c>
      <c r="M7" s="139">
        <f>+M6</f>
        <v/>
      </c>
      <c r="N7" s="139">
        <f>+N6</f>
        <v/>
      </c>
      <c r="O7" s="139">
        <f>+O6</f>
        <v/>
      </c>
      <c r="P7" s="139">
        <f>+P6</f>
        <v/>
      </c>
      <c r="Q7" s="139">
        <f>+Q6</f>
        <v/>
      </c>
      <c r="R7" s="139">
        <f>+R6</f>
        <v/>
      </c>
      <c r="S7" s="139">
        <f>+S6</f>
        <v/>
      </c>
      <c r="T7" s="139">
        <f>+T6</f>
        <v/>
      </c>
      <c r="U7" s="139">
        <f>+U6</f>
        <v/>
      </c>
      <c r="V7" s="139">
        <f>+V6</f>
        <v/>
      </c>
      <c r="W7" s="139">
        <f>+W6</f>
        <v/>
      </c>
      <c r="X7" s="139">
        <f>+X6</f>
        <v/>
      </c>
      <c r="Y7" s="139">
        <f>+Y6</f>
        <v/>
      </c>
      <c r="Z7" s="139">
        <f>+Z6</f>
        <v/>
      </c>
      <c r="AA7" s="139">
        <f>+AA6</f>
        <v/>
      </c>
      <c r="AB7" s="139">
        <f>+AB6</f>
        <v/>
      </c>
      <c r="AC7" s="139">
        <f>+AC6</f>
        <v/>
      </c>
      <c r="AD7" s="139">
        <f>+AD6</f>
        <v/>
      </c>
      <c r="AE7" s="139">
        <f>+AE6</f>
        <v/>
      </c>
      <c r="AF7" s="139">
        <f>+AF6</f>
        <v/>
      </c>
      <c r="AG7" s="139">
        <f>+AG6</f>
        <v/>
      </c>
      <c r="AH7" s="139">
        <f>+AH6</f>
        <v/>
      </c>
      <c r="AI7" s="139">
        <f>+AI6</f>
        <v/>
      </c>
      <c r="AJ7" s="139">
        <f>+AJ6</f>
        <v/>
      </c>
      <c r="AK7" s="139">
        <f>+AK6</f>
        <v/>
      </c>
      <c r="AL7" s="140" t="n"/>
      <c r="AN7" s="21" t="n"/>
      <c r="AO7" s="20" t="n"/>
    </row>
    <row r="8" ht="56.25" customFormat="1" customHeight="1" s="11">
      <c r="A8" s="134" t="n"/>
      <c r="B8" s="174" t="inlineStr">
        <is>
          <t>PO 注文書</t>
        </is>
      </c>
      <c r="C8" s="142" t="n"/>
      <c r="D8" s="142" t="n"/>
      <c r="E8" s="142" t="n"/>
      <c r="F8" s="143" t="n"/>
      <c r="G8" s="144" t="n"/>
      <c r="H8" s="145" t="n"/>
      <c r="I8" s="144" t="n"/>
      <c r="J8" s="145" t="n"/>
      <c r="K8" s="145" t="n"/>
      <c r="L8" s="145" t="n"/>
      <c r="M8" s="145" t="n"/>
      <c r="N8" s="145" t="n"/>
      <c r="O8" s="145" t="n"/>
      <c r="P8" s="145" t="n"/>
      <c r="Q8" s="145" t="n"/>
      <c r="R8" s="145" t="n"/>
      <c r="S8" s="145" t="n"/>
      <c r="T8" s="145" t="n">
        <v>500</v>
      </c>
      <c r="U8" s="145" t="n"/>
      <c r="V8" s="145" t="n"/>
      <c r="W8" s="145" t="n"/>
      <c r="X8" s="145" t="n"/>
      <c r="Y8" s="145" t="n"/>
      <c r="Z8" s="145" t="n"/>
      <c r="AA8" s="145" t="n"/>
      <c r="AB8" s="145" t="n"/>
      <c r="AC8" s="145">
        <f>1000+500</f>
        <v/>
      </c>
      <c r="AD8" s="145" t="n"/>
      <c r="AE8" s="145" t="n"/>
      <c r="AF8" s="145" t="n"/>
      <c r="AG8" s="145" t="n"/>
      <c r="AH8" s="145" t="n"/>
      <c r="AI8" s="145" t="n"/>
      <c r="AJ8" s="145" t="n"/>
      <c r="AK8" s="145" t="n"/>
      <c r="AL8" s="146">
        <f>SUM(G8:AK8)</f>
        <v/>
      </c>
      <c r="AN8" s="147" t="inlineStr">
        <is>
          <t>Tồn PO
注文の 残量</t>
        </is>
      </c>
      <c r="AO8" s="148" t="inlineStr">
        <is>
          <t>Đã hủy PO</t>
        </is>
      </c>
    </row>
    <row r="9" ht="56.25" customHeight="1" s="127">
      <c r="A9" s="134" t="n"/>
      <c r="B9" s="111" t="inlineStr">
        <is>
          <t xml:space="preserve">計画数量
kế hoạch </t>
        </is>
      </c>
      <c r="C9" s="149" t="n"/>
      <c r="D9" s="149" t="n"/>
      <c r="E9" s="149" t="n"/>
      <c r="F9" s="150" t="n"/>
      <c r="G9" s="144" t="n"/>
      <c r="H9" s="144" t="n"/>
      <c r="I9" s="144" t="n"/>
      <c r="J9" s="145" t="n"/>
      <c r="K9" s="145" t="n"/>
      <c r="L9" s="145" t="n"/>
      <c r="M9" s="145" t="n"/>
      <c r="N9" s="145" t="n"/>
      <c r="O9" s="145" t="n"/>
      <c r="P9" s="145" t="n"/>
      <c r="Q9" s="145" t="n"/>
      <c r="R9" s="145" t="n"/>
      <c r="S9" s="145" t="n"/>
      <c r="T9" s="145" t="n"/>
      <c r="U9" s="145" t="n"/>
      <c r="V9" s="145" t="n"/>
      <c r="W9" s="145" t="n"/>
      <c r="X9" s="145" t="n"/>
      <c r="Y9" s="145" t="n"/>
      <c r="Z9" s="145" t="n"/>
      <c r="AA9" s="145" t="n"/>
      <c r="AB9" s="145" t="n"/>
      <c r="AC9" s="145" t="n"/>
      <c r="AD9" s="145" t="n"/>
      <c r="AE9" s="145" t="n"/>
      <c r="AF9" s="145" t="n"/>
      <c r="AG9" s="145" t="n"/>
      <c r="AH9" s="145" t="n"/>
      <c r="AI9" s="145" t="n"/>
      <c r="AJ9" s="145" t="n"/>
      <c r="AK9" s="145" t="n"/>
      <c r="AL9" s="151">
        <f>SUM(G9:AK9)</f>
        <v/>
      </c>
      <c r="AM9" s="0" t="n"/>
      <c r="AN9" s="24" t="inlineStr">
        <is>
          <t>Tổng nhập 総入荷数量
（A)-(B)+(C)</t>
        </is>
      </c>
      <c r="AO9" s="152">
        <f>AL10-AL11+AL12</f>
        <v/>
      </c>
    </row>
    <row r="10" ht="56.25" customHeight="1" s="127">
      <c r="A10" s="134" t="n"/>
      <c r="B10" s="111" t="inlineStr">
        <is>
          <t>実際の納品数量
số lượng thực nhập</t>
        </is>
      </c>
      <c r="C10" s="149" t="n"/>
      <c r="D10" s="149" t="n"/>
      <c r="E10" s="149" t="n"/>
      <c r="F10" s="150" t="n"/>
      <c r="G10" s="153" t="n"/>
      <c r="H10" s="153" t="n"/>
      <c r="I10" s="154" t="n"/>
      <c r="J10" s="145" t="n"/>
      <c r="K10" s="156" t="n"/>
      <c r="L10" s="156" t="n"/>
      <c r="M10" s="155" t="n"/>
      <c r="N10" s="155" t="n"/>
      <c r="O10" s="155" t="n"/>
      <c r="P10" s="155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5" t="n"/>
      <c r="AD10" s="155" t="n"/>
      <c r="AE10" s="156" t="n"/>
      <c r="AF10" s="156" t="n"/>
      <c r="AG10" s="155" t="n"/>
      <c r="AH10" s="155" t="n"/>
      <c r="AI10" s="156" t="n"/>
      <c r="AJ10" s="156" t="n"/>
      <c r="AK10" s="156" t="n"/>
      <c r="AL10" s="157">
        <f>SUM(G10:AK10)</f>
        <v/>
      </c>
      <c r="AM10" s="6" t="inlineStr">
        <is>
          <t>(A)</t>
        </is>
      </c>
      <c r="AN10" s="24" t="inlineStr">
        <is>
          <t>Số lượng chưa khai tháng trước 先月まだ税関に申告されていない数量</t>
        </is>
      </c>
      <c r="AO10" s="148" t="n"/>
    </row>
    <row r="11" ht="56.25" customHeight="1" s="127">
      <c r="A11" s="134" t="n"/>
      <c r="B11" s="111" t="inlineStr">
        <is>
          <t>NG数量（DO SUNG 社変更済）
số lượng NG (Trả hàng DO SUNG)</t>
        </is>
      </c>
      <c r="C11" s="149" t="n"/>
      <c r="D11" s="149" t="n"/>
      <c r="E11" s="149" t="n"/>
      <c r="F11" s="150" t="n"/>
      <c r="G11" s="144" t="n"/>
      <c r="H11" s="144" t="n"/>
      <c r="I11" s="144" t="n"/>
      <c r="J11" s="145" t="n"/>
      <c r="K11" s="145" t="n"/>
      <c r="L11" s="145" t="n"/>
      <c r="M11" s="145" t="n"/>
      <c r="N11" s="145" t="n"/>
      <c r="O11" s="145" t="n"/>
      <c r="P11" s="145" t="n"/>
      <c r="Q11" s="145" t="n"/>
      <c r="R11" s="145" t="n"/>
      <c r="S11" s="145" t="n"/>
      <c r="T11" s="145" t="n"/>
      <c r="U11" s="145" t="n"/>
      <c r="V11" s="145" t="n"/>
      <c r="W11" s="145" t="n"/>
      <c r="X11" s="145" t="n"/>
      <c r="Y11" s="145" t="n"/>
      <c r="Z11" s="145" t="n"/>
      <c r="AA11" s="145" t="n"/>
      <c r="AB11" s="145" t="n"/>
      <c r="AC11" s="145" t="n"/>
      <c r="AD11" s="145" t="n"/>
      <c r="AE11" s="145" t="n"/>
      <c r="AF11" s="145" t="n"/>
      <c r="AG11" s="145" t="n"/>
      <c r="AH11" s="145" t="n"/>
      <c r="AI11" s="145" t="n"/>
      <c r="AJ11" s="145" t="n"/>
      <c r="AK11" s="145" t="n"/>
      <c r="AL11" s="158">
        <f>SUM(G11:AK11)</f>
        <v/>
      </c>
      <c r="AM11" s="6" t="inlineStr">
        <is>
          <t>(B)</t>
        </is>
      </c>
      <c r="AN11" s="24" t="inlineStr">
        <is>
          <t>Số lượng đã khai tháng này 今月税関に申告された数量</t>
        </is>
      </c>
      <c r="AO11" s="26" t="n"/>
    </row>
    <row r="12" ht="56.25" customHeight="1" s="127" thickBot="1">
      <c r="A12" s="159" t="n"/>
      <c r="B12" s="109" t="inlineStr">
        <is>
          <t>NG数量（ドンスン　社しゅり済）
số lượng NG (DO SUNG đã sửa )</t>
        </is>
      </c>
      <c r="C12" s="160" t="n"/>
      <c r="D12" s="160" t="n"/>
      <c r="E12" s="160" t="n"/>
      <c r="F12" s="161" t="n"/>
      <c r="G12" s="162" t="n"/>
      <c r="H12" s="162" t="n"/>
      <c r="I12" s="163" t="n"/>
      <c r="J12" s="164" t="n"/>
      <c r="K12" s="165" t="n"/>
      <c r="L12" s="164" t="n"/>
      <c r="M12" s="164" t="n"/>
      <c r="N12" s="164" t="n"/>
      <c r="O12" s="164" t="n"/>
      <c r="P12" s="164" t="n"/>
      <c r="Q12" s="164" t="n"/>
      <c r="R12" s="165" t="n"/>
      <c r="S12" s="164" t="n"/>
      <c r="T12" s="164" t="n"/>
      <c r="U12" s="164" t="n"/>
      <c r="V12" s="164" t="n"/>
      <c r="W12" s="164" t="n"/>
      <c r="X12" s="164" t="n"/>
      <c r="Y12" s="165" t="n"/>
      <c r="Z12" s="164" t="n"/>
      <c r="AA12" s="164" t="n"/>
      <c r="AB12" s="164" t="n"/>
      <c r="AC12" s="164" t="n"/>
      <c r="AD12" s="164" t="n"/>
      <c r="AE12" s="165" t="n"/>
      <c r="AF12" s="165" t="n"/>
      <c r="AG12" s="164" t="n"/>
      <c r="AH12" s="164" t="n"/>
      <c r="AI12" s="164" t="n"/>
      <c r="AJ12" s="165" t="n"/>
      <c r="AK12" s="165" t="n"/>
      <c r="AL12" s="166">
        <f>SUM(G12:AK12)</f>
        <v/>
      </c>
      <c r="AM12" s="6" t="inlineStr">
        <is>
          <t>(C)</t>
        </is>
      </c>
      <c r="AN12" s="24" t="inlineStr">
        <is>
          <t>Số lượng còn lại chưa khai 残りの数量はまだ税関に申告されていません</t>
        </is>
      </c>
      <c r="AO12" s="148">
        <f>AO10+AO9-AO11</f>
        <v/>
      </c>
    </row>
  </sheetData>
  <mergeCells count="13">
    <mergeCell ref="B12:F12"/>
    <mergeCell ref="AG4:AK4"/>
    <mergeCell ref="B5:C5"/>
    <mergeCell ref="B11:F11"/>
    <mergeCell ref="B10:F10"/>
    <mergeCell ref="B1:AM3"/>
    <mergeCell ref="B6:C7"/>
    <mergeCell ref="A6:A12"/>
    <mergeCell ref="B8:F8"/>
    <mergeCell ref="D7:F7"/>
    <mergeCell ref="AL6:AL7"/>
    <mergeCell ref="D6:F6"/>
    <mergeCell ref="B9:F9"/>
  </mergeCells>
  <conditionalFormatting sqref="G6:AK7">
    <cfRule type="expression" priority="3" dxfId="1" stopIfTrue="1">
      <formula>WEEKDAY(G6)=7</formula>
    </cfRule>
    <cfRule type="expression" priority="4" dxfId="0" stopIfTrue="1">
      <formula>WEEKDAY(G6)=1</formula>
    </cfRule>
  </conditionalFormatting>
  <conditionalFormatting sqref="AL6">
    <cfRule type="expression" priority="1" dxfId="1" stopIfTrue="1">
      <formula>WEEKDAY(AL6)=7</formula>
    </cfRule>
    <cfRule type="expression" priority="2" dxfId="0" stopIfTrue="1">
      <formula>WEEKDAY(AL6)=1</formula>
    </cfRule>
  </conditionalFormatting>
  <printOptions horizontalCentered="1"/>
  <pageMargins left="0.17" right="0.17" top="0.17" bottom="0.17" header="0.17" footer="0.17"/>
  <pageSetup orientation="landscape" paperSize="9" scale="3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viet van</dc:creator>
  <dcterms:created xsi:type="dcterms:W3CDTF">2025-07-04T05:52:00Z</dcterms:created>
  <dcterms:modified xsi:type="dcterms:W3CDTF">2026-09-21T08:28:50Z</dcterms:modified>
  <cp:lastModifiedBy>PC02</cp:lastModifiedBy>
  <cp:lastPrinted>2026-01-08T09:53:26Z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FC09063728454976BD8345A69D2EDFC5_13</vt:lpwstr>
  </property>
  <property name="KSOProductBuildVer" fmtid="{D5CDD505-2E9C-101B-9397-08002B2CF9AE}" pid="3">
    <vt:lpwstr>1033-12.2.0.21546</vt:lpwstr>
  </property>
</Properties>
</file>